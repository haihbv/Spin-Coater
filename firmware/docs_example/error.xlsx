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strator\OneDrive\Desktop\Spin_Coating\"/>
    </mc:Choice>
  </mc:AlternateContent>
  <xr:revisionPtr revIDLastSave="0" documentId="13_ncr:1_{C78975FB-6817-49B6-8139-DF9477B01D2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Oxilo" sheetId="1" r:id="rId1"/>
    <sheet name="Máy đo" sheetId="2" r:id="rId2"/>
    <sheet name="Tóm tắ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2" l="1"/>
  <c r="D35" i="2"/>
  <c r="D34" i="2"/>
  <c r="D33" i="2"/>
  <c r="D30" i="2"/>
  <c r="D29" i="2"/>
  <c r="D2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8" i="2"/>
  <c r="C8" i="2"/>
  <c r="B28" i="2"/>
  <c r="B36" i="2"/>
  <c r="B35" i="2"/>
  <c r="B34" i="2"/>
  <c r="B33" i="2"/>
  <c r="B30" i="2"/>
  <c r="B29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D59" i="2" l="1"/>
  <c r="F59" i="2"/>
  <c r="H59" i="2"/>
  <c r="D60" i="2"/>
  <c r="F60" i="2"/>
  <c r="H60" i="2"/>
  <c r="D61" i="2"/>
  <c r="F61" i="2"/>
  <c r="H61" i="2"/>
  <c r="D62" i="2"/>
  <c r="F62" i="2"/>
  <c r="H62" i="2"/>
  <c r="B65" i="2"/>
  <c r="B64" i="2"/>
  <c r="F28" i="2"/>
  <c r="H28" i="2"/>
  <c r="J28" i="2"/>
  <c r="L28" i="2"/>
  <c r="N28" i="2"/>
  <c r="D31" i="2"/>
  <c r="F29" i="2"/>
  <c r="H29" i="2"/>
  <c r="J29" i="2"/>
  <c r="J30" i="2" s="1"/>
  <c r="J31" i="2" s="1"/>
  <c r="L29" i="2"/>
  <c r="N29" i="2"/>
  <c r="N30" i="2" s="1"/>
  <c r="N31" i="2" s="1"/>
  <c r="F30" i="2"/>
  <c r="F31" i="2" s="1"/>
  <c r="H30" i="2"/>
  <c r="H31" i="2" s="1"/>
  <c r="L30" i="2"/>
  <c r="L31" i="2" s="1"/>
  <c r="B60" i="2"/>
  <c r="B61" i="2" s="1"/>
  <c r="B59" i="2"/>
  <c r="D64" i="2"/>
  <c r="F64" i="2"/>
  <c r="H64" i="2"/>
  <c r="D65" i="2"/>
  <c r="F65" i="2"/>
  <c r="H65" i="2"/>
  <c r="B66" i="2"/>
  <c r="D66" i="2"/>
  <c r="F66" i="2"/>
  <c r="H66" i="2"/>
  <c r="B67" i="2"/>
  <c r="D67" i="2"/>
  <c r="F67" i="2"/>
  <c r="H67" i="2"/>
  <c r="L33" i="2"/>
  <c r="L34" i="2"/>
  <c r="L35" i="2"/>
  <c r="L36" i="2"/>
  <c r="F33" i="2"/>
  <c r="H33" i="2"/>
  <c r="J33" i="2"/>
  <c r="N33" i="2"/>
  <c r="F34" i="2"/>
  <c r="H34" i="2"/>
  <c r="J34" i="2"/>
  <c r="N34" i="2"/>
  <c r="F35" i="2"/>
  <c r="H35" i="2"/>
  <c r="J35" i="2"/>
  <c r="N35" i="2"/>
  <c r="F36" i="2"/>
  <c r="H36" i="2"/>
  <c r="J36" i="2"/>
  <c r="N36" i="2"/>
  <c r="B28" i="1"/>
  <c r="B59" i="1"/>
  <c r="B57" i="1"/>
  <c r="B58" i="1" s="1"/>
  <c r="B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J57" i="1"/>
  <c r="J58" i="1" s="1"/>
  <c r="J56" i="1"/>
  <c r="J59" i="1" s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H57" i="1"/>
  <c r="H58" i="1" s="1"/>
  <c r="H56" i="1"/>
  <c r="H59" i="1" s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F57" i="1"/>
  <c r="F58" i="1" s="1"/>
  <c r="F56" i="1"/>
  <c r="F59" i="1" s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D57" i="1"/>
  <c r="D58" i="1" s="1"/>
  <c r="D56" i="1"/>
  <c r="D59" i="1" s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B62" i="2" l="1"/>
  <c r="B61" i="1"/>
  <c r="B60" i="1"/>
  <c r="J61" i="1"/>
  <c r="J60" i="1"/>
  <c r="H61" i="1"/>
  <c r="H60" i="1"/>
  <c r="F61" i="1"/>
  <c r="F60" i="1"/>
  <c r="D61" i="1"/>
  <c r="D60" i="1"/>
  <c r="N24" i="1" l="1"/>
  <c r="N25" i="1" s="1"/>
  <c r="N23" i="1"/>
  <c r="N26" i="1" s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L24" i="1"/>
  <c r="L25" i="1" s="1"/>
  <c r="L23" i="1"/>
  <c r="L26" i="1" s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J24" i="1"/>
  <c r="J25" i="1" s="1"/>
  <c r="J23" i="1"/>
  <c r="J26" i="1" s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N28" i="1" l="1"/>
  <c r="N27" i="1"/>
  <c r="L28" i="1"/>
  <c r="L27" i="1"/>
  <c r="J28" i="1"/>
  <c r="J27" i="1"/>
  <c r="H24" i="1" l="1"/>
  <c r="H25" i="1" s="1"/>
  <c r="H23" i="1"/>
  <c r="H26" i="1" s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F26" i="1"/>
  <c r="F24" i="1"/>
  <c r="F25" i="1" s="1"/>
  <c r="F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D24" i="1"/>
  <c r="D25" i="1" s="1"/>
  <c r="D23" i="1"/>
  <c r="D26" i="1" s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1"/>
  <c r="B23" i="1"/>
  <c r="B26" i="1" s="1"/>
  <c r="B24" i="1"/>
  <c r="B25" i="1" s="1"/>
  <c r="B27" i="1" s="1"/>
  <c r="D28" i="1" l="1"/>
  <c r="D27" i="1"/>
  <c r="H27" i="1"/>
  <c r="H28" i="1"/>
  <c r="F28" i="1"/>
  <c r="F27" i="1"/>
  <c r="B31" i="2"/>
</calcChain>
</file>

<file path=xl/sharedStrings.xml><?xml version="1.0" encoding="utf-8"?>
<sst xmlns="http://schemas.openxmlformats.org/spreadsheetml/2006/main" count="112" uniqueCount="77">
  <si>
    <t>Xung từ Oxilo</t>
  </si>
  <si>
    <t>600 RPM (Hz)</t>
  </si>
  <si>
    <t>800 RPM (Hz)</t>
  </si>
  <si>
    <t>1000 RPM (Hz)</t>
  </si>
  <si>
    <t>1500 RPM (Hz)</t>
  </si>
  <si>
    <t>2000 RPM (Hz)</t>
  </si>
  <si>
    <t>2500 RPM (Hz)</t>
  </si>
  <si>
    <t>3000 RPM (Hz)</t>
  </si>
  <si>
    <t>3500 RPM (Hz)</t>
  </si>
  <si>
    <t>4000 RPM (Hz)</t>
  </si>
  <si>
    <t>4500 RPM (Hz)</t>
  </si>
  <si>
    <t>5000 RPM (Hz)</t>
  </si>
  <si>
    <t>5500 RPM (Hz)</t>
  </si>
  <si>
    <t>Tần số trung bình</t>
  </si>
  <si>
    <t>Độ lệch chuẩn</t>
  </si>
  <si>
    <t>Sai số TB của kết quả đo TB</t>
  </si>
  <si>
    <t>Sai số tương đối (%)</t>
  </si>
  <si>
    <t xml:space="preserve">Trung bình RPM </t>
  </si>
  <si>
    <t>Sai số RPM</t>
  </si>
  <si>
    <t>606,26 ± 2,26 RPM (0.37 %)</t>
  </si>
  <si>
    <t>Kết quả</t>
  </si>
  <si>
    <t>753 ± 8.5 RPM (1.13 %)</t>
  </si>
  <si>
    <t>−5.9 %</t>
  </si>
  <si>
    <t>1021,67 ± 2.28 RPM (0,22 %)</t>
  </si>
  <si>
    <t>Lệch</t>
  </si>
  <si>
    <t>Độ ổn định</t>
  </si>
  <si>
    <t>1498 ± 3,27 RPM (0,22 %)</t>
  </si>
  <si>
    <t>0,13%</t>
  </si>
  <si>
    <t>1975 ± 3,97 RPM (0,2 %)</t>
  </si>
  <si>
    <t>1,25%</t>
  </si>
  <si>
    <t>2489 ± 4,8 RPM (0,19 %)</t>
  </si>
  <si>
    <t>0,44%</t>
  </si>
  <si>
    <t>0,19%</t>
  </si>
  <si>
    <t>3027 ± 6,4 RPM (0,21 %)</t>
  </si>
  <si>
    <t>0,21%</t>
  </si>
  <si>
    <t>0,9%</t>
  </si>
  <si>
    <t>5003 ± 9,5 RPM (0.18 %)</t>
  </si>
  <si>
    <t>0,06%</t>
  </si>
  <si>
    <t>4503 ± 9,97 RPM (0.22 %)</t>
  </si>
  <si>
    <t>0,067%</t>
  </si>
  <si>
    <t>0,22%</t>
  </si>
  <si>
    <t>Lấy ngẫu nhiên 20 xung từ oxilo</t>
  </si>
  <si>
    <t>4005 ± 7,8 RPM (0.19 %)</t>
  </si>
  <si>
    <t>0,125%</t>
  </si>
  <si>
    <t>3471 ± 6,8 RPM (0.196 %)</t>
  </si>
  <si>
    <t>0,196%</t>
  </si>
  <si>
    <t>0,83%</t>
  </si>
  <si>
    <t>5512 ± 11 RPM (0.2 %)</t>
  </si>
  <si>
    <t>0,2%</t>
  </si>
  <si>
    <t>Lần đo</t>
  </si>
  <si>
    <t>603,85 ± 13,03 RPM (0.58 %)</t>
  </si>
  <si>
    <t>804 ± 9,36 RPM (0.31 %)</t>
  </si>
  <si>
    <t>1000,85 ± 7,73RPM (0,21%)</t>
  </si>
  <si>
    <t>1505 ±  9,9 RPM (0,18%)</t>
  </si>
  <si>
    <t>2004,9 ±  10,43 RPM (0,14%)</t>
  </si>
  <si>
    <t>2502 ± 11,5 RPM (0,12%)</t>
  </si>
  <si>
    <t>3000,3 ± 8,9RPM (0,08%)</t>
  </si>
  <si>
    <t>3499 ± 9,61 RPM (0,073%)</t>
  </si>
  <si>
    <t>4000,15 ± 8,85 RPM (0,06%)</t>
  </si>
  <si>
    <t>4499 ± 30,4 RPM (0,18%)</t>
  </si>
  <si>
    <t>5000,8 ± 5,6RPM (0,03%)</t>
  </si>
  <si>
    <t>MÁY ĐO VÒNG QUAY</t>
  </si>
  <si>
    <t>Accuracy (%)</t>
  </si>
  <si>
    <t>Repeatability (%)</t>
  </si>
  <si>
    <t>Accuracy (RPM)</t>
  </si>
  <si>
    <t>Repeatability (RPM)</t>
  </si>
  <si>
    <t>Mean RPM</t>
  </si>
  <si>
    <t>TargetRPM</t>
  </si>
  <si>
    <t>Accuaracy (RPM)</t>
  </si>
  <si>
    <t>Accuaracy (%)</t>
  </si>
  <si>
    <t>Accuaracy</t>
  </si>
  <si>
    <t>Repeatability</t>
  </si>
  <si>
    <t>MÔ TẢ</t>
  </si>
  <si>
    <t>Measured RPM vs Target RPM</t>
  </si>
  <si>
    <t>Accuracy (%) vs Target RPM</t>
  </si>
  <si>
    <t>Repeatability (%) vs Target RPM</t>
  </si>
  <si>
    <t>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</si>
</sst>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"/>
      <name val="Calibri"/>
      <family val="2"/>
      <scheme val="minor"/>
    </font>
    <font>
      <b/>
      <sz val="14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1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8" borderId="0" xfId="5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7" borderId="1" xfId="4" applyBorder="1" applyAlignment="1">
      <alignment horizontal="center" vertical="center"/>
    </xf>
    <xf numFmtId="0" fontId="5" fillId="6" borderId="1" xfId="3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Border="1"/>
    <xf numFmtId="0" fontId="0" fillId="0" borderId="0" xfId="0" applyBorder="1"/>
    <xf numFmtId="0" fontId="8" fillId="0" borderId="0" xfId="0" applyFont="1" applyBorder="1" applyAlignment="1">
      <alignment horizontal="center" vertical="center"/>
    </xf>
    <xf numFmtId="10" fontId="8" fillId="0" borderId="0" xfId="0" applyNumberFormat="1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9" fillId="5" borderId="1" xfId="2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7" borderId="1" xfId="4" applyBorder="1" applyAlignment="1">
      <alignment horizontal="center"/>
    </xf>
    <xf numFmtId="0" fontId="5" fillId="6" borderId="1" xfId="3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</cellXfs>
  <cellStyles count="6">
    <cellStyle name="60% - Accent2" xfId="3" builtinId="36"/>
    <cellStyle name="60% - Accent3" xfId="4" builtinId="40"/>
    <cellStyle name="60% - Accent4" xfId="5" builtinId="44"/>
    <cellStyle name="Bad" xfId="1" builtinId="27"/>
    <cellStyle name="Good" xfId="2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'Tóm tắt'!$C$3</c:f>
              <c:strCache>
                <c:ptCount val="1"/>
                <c:pt idx="0">
                  <c:v>TargetRPM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'Tóm tắt'!$C$4:$C$14</c:f>
              <c:numCache>
                <c:formatCode>General</c:formatCode>
                <c:ptCount val="11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7-47A7-903A-6B3360A5D98F}"/>
            </c:ext>
          </c:extLst>
        </c:ser>
        <c:ser>
          <c:idx val="1"/>
          <c:order val="1"/>
          <c:tx>
            <c:strRef>
              <c:f>'Tóm tắt'!$D$3</c:f>
              <c:strCache>
                <c:ptCount val="1"/>
                <c:pt idx="0">
                  <c:v>Mean RPM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'Tóm tắt'!$D$4:$D$14</c:f>
              <c:numCache>
                <c:formatCode>General</c:formatCode>
                <c:ptCount val="11"/>
                <c:pt idx="0">
                  <c:v>603.85</c:v>
                </c:pt>
                <c:pt idx="1">
                  <c:v>803.9</c:v>
                </c:pt>
                <c:pt idx="2">
                  <c:v>1000.85</c:v>
                </c:pt>
                <c:pt idx="3">
                  <c:v>1504.6</c:v>
                </c:pt>
                <c:pt idx="4">
                  <c:v>2004.9</c:v>
                </c:pt>
                <c:pt idx="5">
                  <c:v>2502.25</c:v>
                </c:pt>
                <c:pt idx="6">
                  <c:v>3000.3</c:v>
                </c:pt>
                <c:pt idx="7">
                  <c:v>3498.75</c:v>
                </c:pt>
                <c:pt idx="8">
                  <c:v>4000.15</c:v>
                </c:pt>
                <c:pt idx="9">
                  <c:v>4527.25</c:v>
                </c:pt>
                <c:pt idx="10">
                  <c:v>5000.75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7-47A7-903A-6B3360A5D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4318799"/>
        <c:axId val="904316879"/>
      </c:lineChart>
      <c:catAx>
        <c:axId val="9043187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16879"/>
        <c:crosses val="autoZero"/>
        <c:auto val="1"/>
        <c:lblAlgn val="ctr"/>
        <c:lblOffset val="100"/>
        <c:noMultiLvlLbl val="0"/>
      </c:catAx>
      <c:valAx>
        <c:axId val="90431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1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'Tóm tắt'!$F$3</c:f>
              <c:strCache>
                <c:ptCount val="1"/>
                <c:pt idx="0">
                  <c:v>Accuaracy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'Tóm tắt'!$C$4:$C$14</c:f>
              <c:numCache>
                <c:formatCode>General</c:formatCode>
                <c:ptCount val="11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</c:numCache>
            </c:numRef>
          </c:xVal>
          <c:yVal>
            <c:numRef>
              <c:f>'Tóm tắt'!$F$4:$F$14</c:f>
              <c:numCache>
                <c:formatCode>General</c:formatCode>
                <c:ptCount val="11"/>
                <c:pt idx="0">
                  <c:v>0.64</c:v>
                </c:pt>
                <c:pt idx="1">
                  <c:v>0.49</c:v>
                </c:pt>
                <c:pt idx="2">
                  <c:v>0.09</c:v>
                </c:pt>
                <c:pt idx="3">
                  <c:v>0.31</c:v>
                </c:pt>
                <c:pt idx="4">
                  <c:v>0.25</c:v>
                </c:pt>
                <c:pt idx="5">
                  <c:v>0.09</c:v>
                </c:pt>
                <c:pt idx="6">
                  <c:v>0.01</c:v>
                </c:pt>
                <c:pt idx="7">
                  <c:v>0.04</c:v>
                </c:pt>
                <c:pt idx="8">
                  <c:v>0</c:v>
                </c:pt>
                <c:pt idx="9">
                  <c:v>0.61</c:v>
                </c:pt>
                <c:pt idx="10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38-4993-B332-1CBEC3918DD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87390271"/>
        <c:axId val="787391711"/>
      </c:scatterChart>
      <c:valAx>
        <c:axId val="78739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91711"/>
        <c:crosses val="autoZero"/>
        <c:crossBetween val="midCat"/>
      </c:valAx>
      <c:valAx>
        <c:axId val="78739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9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'Tóm tắt'!$H$3</c:f>
              <c:strCache>
                <c:ptCount val="1"/>
                <c:pt idx="0">
                  <c:v>Repeatability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'Tóm tắt'!$C$4:$C$14</c:f>
              <c:numCache>
                <c:formatCode>General</c:formatCode>
                <c:ptCount val="11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</c:numCache>
            </c:numRef>
          </c:xVal>
          <c:yVal>
            <c:numRef>
              <c:f>'Tóm tắt'!$H$4:$H$14</c:f>
              <c:numCache>
                <c:formatCode>General</c:formatCode>
                <c:ptCount val="11"/>
                <c:pt idx="0">
                  <c:v>2.57</c:v>
                </c:pt>
                <c:pt idx="1">
                  <c:v>1.39</c:v>
                </c:pt>
                <c:pt idx="2">
                  <c:v>0.92</c:v>
                </c:pt>
                <c:pt idx="3">
                  <c:v>0.78</c:v>
                </c:pt>
                <c:pt idx="4">
                  <c:v>0.62</c:v>
                </c:pt>
                <c:pt idx="5">
                  <c:v>0.55000000000000004</c:v>
                </c:pt>
                <c:pt idx="6">
                  <c:v>0.36</c:v>
                </c:pt>
                <c:pt idx="7">
                  <c:v>0.33</c:v>
                </c:pt>
                <c:pt idx="8">
                  <c:v>0.26</c:v>
                </c:pt>
                <c:pt idx="9">
                  <c:v>0.8</c:v>
                </c:pt>
                <c:pt idx="10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37-42B8-B1EB-5A5B1688FA2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13455327"/>
        <c:axId val="1013457727"/>
      </c:scatterChart>
      <c:valAx>
        <c:axId val="101345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457727"/>
        <c:crosses val="autoZero"/>
        <c:crossBetween val="midCat"/>
      </c:valAx>
      <c:valAx>
        <c:axId val="101345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45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552449</xdr:colOff>
      <xdr:row>24</xdr:row>
      <xdr:rowOff>161926</xdr:rowOff>
    </xdr:from>
    <xdr:to>
      <xdr:col>7</xdr:col>
      <xdr:colOff>1533525</xdr:colOff>
      <xdr:row>49</xdr:row>
      <xdr:rowOff>180976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1939E9-0CBC-EACE-E9EE-9E692E30E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15</xdr:row>
      <xdr:rowOff>76200</xdr:rowOff>
    </xdr:from>
    <xdr:to>
      <xdr:col>18</xdr:col>
      <xdr:colOff>314325</xdr:colOff>
      <xdr:row>28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426D38-BA25-5237-E3C2-6D60D82D0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581025</xdr:colOff>
      <xdr:row>36</xdr:row>
      <xdr:rowOff>47625</xdr:rowOff>
    </xdr:from>
    <xdr:to>
      <xdr:col>18</xdr:col>
      <xdr:colOff>276225</xdr:colOff>
      <xdr:row>50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FA8325-6175-2FF4-33A3-E7E1708D4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workbookViewId="0">
      <selection activeCell="A2" sqref="A2"/>
    </sheetView>
  </sheetViews>
  <sheetFormatPr defaultRowHeight="15" x14ac:dyDescent="0.25"/>
  <cols>
    <col min="1" max="1" width="24.85546875" bestFit="1" customWidth="1"/>
    <col min="2" max="16" width="15" customWidth="1"/>
  </cols>
  <sheetData>
    <row r="1" spans="1:15" x14ac:dyDescent="0.25">
      <c r="A1" t="s">
        <v>41</v>
      </c>
    </row>
    <row r="2" spans="1:15" x14ac:dyDescent="0.25">
      <c r="A2" s="1" t="s">
        <v>0</v>
      </c>
      <c r="B2" s="12" t="s">
        <v>1</v>
      </c>
      <c r="C2" s="12"/>
      <c r="D2" s="12" t="s">
        <v>2</v>
      </c>
      <c r="E2" s="12"/>
      <c r="F2" s="12" t="s">
        <v>3</v>
      </c>
      <c r="G2" s="12"/>
      <c r="H2" s="12" t="s">
        <v>4</v>
      </c>
      <c r="I2" s="12"/>
      <c r="J2" s="12" t="s">
        <v>5</v>
      </c>
      <c r="K2" s="12"/>
      <c r="L2" s="12" t="s">
        <v>6</v>
      </c>
      <c r="M2" s="12"/>
      <c r="N2" s="12" t="s">
        <v>7</v>
      </c>
      <c r="O2" s="12"/>
    </row>
    <row r="3" spans="1:15" x14ac:dyDescent="0.25">
      <c r="A3" s="2">
        <v>1</v>
      </c>
      <c r="B3" s="2">
        <v>158.916</v>
      </c>
      <c r="C3" s="5">
        <f>B3*60/16</f>
        <v>595.93499999999995</v>
      </c>
      <c r="D3" s="2">
        <v>195.505</v>
      </c>
      <c r="E3" s="5">
        <f>D3*60/16</f>
        <v>733.14374999999995</v>
      </c>
      <c r="F3" s="2">
        <v>271.202</v>
      </c>
      <c r="G3" s="5">
        <f>F3*60/16</f>
        <v>1017.0074999999999</v>
      </c>
      <c r="H3" s="2">
        <v>396.24900000000002</v>
      </c>
      <c r="I3" s="5">
        <f>H3*60/16</f>
        <v>1485.9337500000001</v>
      </c>
      <c r="J3" s="2">
        <v>522.08000000000004</v>
      </c>
      <c r="K3" s="5">
        <f>J3*60/16</f>
        <v>1957.8000000000002</v>
      </c>
      <c r="L3" s="2">
        <v>663.97400000000005</v>
      </c>
      <c r="M3" s="5">
        <f>L3*60/16</f>
        <v>2489.9025000000001</v>
      </c>
      <c r="N3" s="2">
        <v>807.15700000000004</v>
      </c>
      <c r="O3" s="5">
        <f>N3*60/16</f>
        <v>3026.8387500000003</v>
      </c>
    </row>
    <row r="4" spans="1:15" x14ac:dyDescent="0.25">
      <c r="A4" s="2">
        <v>2</v>
      </c>
      <c r="B4" s="2">
        <v>163.048</v>
      </c>
      <c r="C4" s="5">
        <f t="shared" ref="C4:E22" si="0">B4*60/16</f>
        <v>611.43000000000006</v>
      </c>
      <c r="D4" s="2">
        <v>200.18700000000001</v>
      </c>
      <c r="E4" s="5">
        <f t="shared" si="0"/>
        <v>750.70125000000007</v>
      </c>
      <c r="F4" s="2">
        <v>268.72399999999999</v>
      </c>
      <c r="G4" s="5">
        <f t="shared" ref="G4:I4" si="1">F4*60/16</f>
        <v>1007.7149999999999</v>
      </c>
      <c r="H4" s="2">
        <v>391.83699999999999</v>
      </c>
      <c r="I4" s="5">
        <f t="shared" si="1"/>
        <v>1469.3887500000001</v>
      </c>
      <c r="J4" s="2">
        <v>522.10199999999998</v>
      </c>
      <c r="K4" s="5">
        <f t="shared" ref="K4:M4" si="2">J4*60/16</f>
        <v>1957.8824999999999</v>
      </c>
      <c r="L4" s="2">
        <v>656.56299999999999</v>
      </c>
      <c r="M4" s="5">
        <f t="shared" si="2"/>
        <v>2462.1112499999999</v>
      </c>
      <c r="N4" s="2">
        <v>807.18399999999997</v>
      </c>
      <c r="O4" s="5">
        <f t="shared" ref="O4" si="3">N4*60/16</f>
        <v>3026.94</v>
      </c>
    </row>
    <row r="5" spans="1:15" x14ac:dyDescent="0.25">
      <c r="A5" s="2">
        <v>3</v>
      </c>
      <c r="B5" s="2">
        <v>159.798</v>
      </c>
      <c r="C5" s="5">
        <f t="shared" si="0"/>
        <v>599.24250000000006</v>
      </c>
      <c r="D5" s="2">
        <v>200.892</v>
      </c>
      <c r="E5" s="5">
        <f t="shared" si="0"/>
        <v>753.34500000000003</v>
      </c>
      <c r="F5" s="2">
        <v>273.31099999999998</v>
      </c>
      <c r="G5" s="5">
        <f t="shared" ref="G5:I5" si="4">F5*60/16</f>
        <v>1024.91625</v>
      </c>
      <c r="H5" s="2">
        <v>398.983</v>
      </c>
      <c r="I5" s="5">
        <f t="shared" si="4"/>
        <v>1496.18625</v>
      </c>
      <c r="J5" s="2">
        <v>534.80700000000002</v>
      </c>
      <c r="K5" s="5">
        <f t="shared" ref="K5:M5" si="5">J5*60/16</f>
        <v>2005.5262500000001</v>
      </c>
      <c r="L5" s="2">
        <v>663.97400000000005</v>
      </c>
      <c r="M5" s="5">
        <f t="shared" si="5"/>
        <v>2489.9025000000001</v>
      </c>
      <c r="N5" s="2">
        <v>814.69200000000001</v>
      </c>
      <c r="O5" s="5">
        <f t="shared" ref="O5" si="6">N5*60/16</f>
        <v>3055.0950000000003</v>
      </c>
    </row>
    <row r="6" spans="1:15" x14ac:dyDescent="0.25">
      <c r="A6" s="2">
        <v>4</v>
      </c>
      <c r="B6" s="2">
        <v>158.21199999999999</v>
      </c>
      <c r="C6" s="5">
        <f t="shared" si="0"/>
        <v>593.29499999999996</v>
      </c>
      <c r="D6" s="2">
        <v>202.98400000000001</v>
      </c>
      <c r="E6" s="5">
        <f t="shared" si="0"/>
        <v>761.19</v>
      </c>
      <c r="F6" s="2">
        <v>273.74400000000003</v>
      </c>
      <c r="G6" s="5">
        <f t="shared" ref="G6:I6" si="7">F6*60/16</f>
        <v>1026.5400000000002</v>
      </c>
      <c r="H6" s="2">
        <v>398.94299999999998</v>
      </c>
      <c r="I6" s="5">
        <f t="shared" si="7"/>
        <v>1496.0362499999999</v>
      </c>
      <c r="J6" s="2">
        <v>526.81299999999999</v>
      </c>
      <c r="K6" s="5">
        <f t="shared" ref="K6:M6" si="8">J6*60/16</f>
        <v>1975.5487499999999</v>
      </c>
      <c r="L6" s="2">
        <v>666.48199999999997</v>
      </c>
      <c r="M6" s="5">
        <f t="shared" si="8"/>
        <v>2499.3074999999999</v>
      </c>
      <c r="N6" s="2">
        <v>803.50900000000001</v>
      </c>
      <c r="O6" s="5">
        <f t="shared" ref="O6" si="9">N6*60/16</f>
        <v>3013.1587500000001</v>
      </c>
    </row>
    <row r="7" spans="1:15" x14ac:dyDescent="0.25">
      <c r="A7" s="2">
        <v>5</v>
      </c>
      <c r="B7" s="2">
        <v>162.60300000000001</v>
      </c>
      <c r="C7" s="5">
        <f t="shared" si="0"/>
        <v>609.76125000000002</v>
      </c>
      <c r="D7" s="2">
        <v>199.983</v>
      </c>
      <c r="E7" s="5">
        <f t="shared" si="0"/>
        <v>749.93624999999997</v>
      </c>
      <c r="F7" s="2">
        <v>275.875</v>
      </c>
      <c r="G7" s="5">
        <f t="shared" ref="G7:I7" si="10">F7*60/16</f>
        <v>1034.53125</v>
      </c>
      <c r="H7" s="2">
        <v>398.096</v>
      </c>
      <c r="I7" s="5">
        <f t="shared" si="10"/>
        <v>1492.8600000000001</v>
      </c>
      <c r="J7" s="2">
        <v>519.03099999999995</v>
      </c>
      <c r="K7" s="5">
        <f t="shared" ref="K7:M7" si="11">J7*60/16</f>
        <v>1946.3662499999998</v>
      </c>
      <c r="L7" s="2">
        <v>669.00800000000004</v>
      </c>
      <c r="M7" s="5">
        <f t="shared" si="11"/>
        <v>2508.7800000000002</v>
      </c>
      <c r="N7" s="2">
        <v>803.53599999999994</v>
      </c>
      <c r="O7" s="5">
        <f t="shared" ref="O7" si="12">N7*60/16</f>
        <v>3013.2599999999998</v>
      </c>
    </row>
    <row r="8" spans="1:15" x14ac:dyDescent="0.25">
      <c r="A8" s="2">
        <v>6</v>
      </c>
      <c r="B8" s="2">
        <v>166.59899999999999</v>
      </c>
      <c r="C8" s="5">
        <f t="shared" si="0"/>
        <v>624.74624999999992</v>
      </c>
      <c r="D8" s="2">
        <v>198.852</v>
      </c>
      <c r="E8" s="5">
        <f t="shared" si="0"/>
        <v>745.69500000000005</v>
      </c>
      <c r="F8" s="2">
        <v>270.79199999999997</v>
      </c>
      <c r="G8" s="5">
        <f t="shared" ref="G8:I8" si="13">F8*60/16</f>
        <v>1015.4699999999999</v>
      </c>
      <c r="H8" s="2">
        <v>399.98700000000002</v>
      </c>
      <c r="I8" s="5">
        <f t="shared" si="13"/>
        <v>1499.9512500000001</v>
      </c>
      <c r="J8" s="2">
        <v>526.82399999999996</v>
      </c>
      <c r="K8" s="5">
        <f t="shared" ref="K8:M8" si="14">J8*60/16</f>
        <v>1975.59</v>
      </c>
      <c r="L8" s="2">
        <v>661.50300000000004</v>
      </c>
      <c r="M8" s="5">
        <f t="shared" si="14"/>
        <v>2480.63625</v>
      </c>
      <c r="N8" s="2">
        <v>826.10500000000002</v>
      </c>
      <c r="O8" s="5">
        <f t="shared" ref="O8" si="15">N8*60/16</f>
        <v>3097.8937500000002</v>
      </c>
    </row>
    <row r="9" spans="1:15" x14ac:dyDescent="0.25">
      <c r="A9" s="2">
        <v>7</v>
      </c>
      <c r="B9" s="2">
        <v>166.154</v>
      </c>
      <c r="C9" s="5">
        <f t="shared" si="0"/>
        <v>623.07749999999999</v>
      </c>
      <c r="D9" s="2">
        <v>204.352</v>
      </c>
      <c r="E9" s="5">
        <f t="shared" si="0"/>
        <v>766.32</v>
      </c>
      <c r="F9" s="2">
        <v>270.79500000000002</v>
      </c>
      <c r="G9" s="5">
        <f t="shared" ref="G9:I9" si="16">F9*60/16</f>
        <v>1015.48125</v>
      </c>
      <c r="H9" s="2">
        <v>395.387</v>
      </c>
      <c r="I9" s="5">
        <f t="shared" si="16"/>
        <v>1482.7012500000001</v>
      </c>
      <c r="J9" s="2">
        <v>528.40200000000004</v>
      </c>
      <c r="K9" s="5">
        <f t="shared" ref="K9:M9" si="17">J9*60/16</f>
        <v>1981.5075000000002</v>
      </c>
      <c r="L9" s="2">
        <v>659.00300000000004</v>
      </c>
      <c r="M9" s="5">
        <f t="shared" si="17"/>
        <v>2471.26125</v>
      </c>
      <c r="N9" s="2">
        <v>807.18399999999997</v>
      </c>
      <c r="O9" s="5">
        <f t="shared" ref="O9" si="18">N9*60/16</f>
        <v>3026.94</v>
      </c>
    </row>
    <row r="10" spans="1:15" x14ac:dyDescent="0.25">
      <c r="A10" s="2">
        <v>8</v>
      </c>
      <c r="B10" s="2">
        <v>162.154</v>
      </c>
      <c r="C10" s="5">
        <f t="shared" si="0"/>
        <v>608.07749999999999</v>
      </c>
      <c r="D10" s="2">
        <v>200.63399999999999</v>
      </c>
      <c r="E10" s="5">
        <f t="shared" si="0"/>
        <v>752.37749999999994</v>
      </c>
      <c r="F10" s="2">
        <v>277.62700000000001</v>
      </c>
      <c r="G10" s="5">
        <f t="shared" ref="G10:I10" si="19">F10*60/16</f>
        <v>1041.1012499999999</v>
      </c>
      <c r="H10" s="2">
        <v>397.18700000000001</v>
      </c>
      <c r="I10" s="5">
        <f t="shared" si="19"/>
        <v>1489.4512500000001</v>
      </c>
      <c r="J10" s="2">
        <v>526.81299999999999</v>
      </c>
      <c r="K10" s="5">
        <f t="shared" ref="K10:M10" si="20">J10*60/16</f>
        <v>1975.5487499999999</v>
      </c>
      <c r="L10" s="2">
        <v>679.38599999999997</v>
      </c>
      <c r="M10" s="5">
        <f t="shared" si="20"/>
        <v>2547.6974999999998</v>
      </c>
      <c r="N10" s="2">
        <v>799.84</v>
      </c>
      <c r="O10" s="5">
        <f t="shared" ref="O10" si="21">N10*60/16</f>
        <v>2999.4</v>
      </c>
    </row>
    <row r="11" spans="1:15" x14ac:dyDescent="0.25">
      <c r="A11" s="2">
        <v>9</v>
      </c>
      <c r="B11" s="2">
        <v>158.13399999999999</v>
      </c>
      <c r="C11" s="5">
        <f t="shared" si="0"/>
        <v>593.00249999999994</v>
      </c>
      <c r="D11" s="2">
        <v>198.83</v>
      </c>
      <c r="E11" s="5">
        <f t="shared" si="0"/>
        <v>745.61250000000007</v>
      </c>
      <c r="F11" s="2">
        <v>272.04399999999998</v>
      </c>
      <c r="G11" s="5">
        <f t="shared" ref="G11:I11" si="22">F11*60/16</f>
        <v>1020.165</v>
      </c>
      <c r="H11" s="2">
        <v>394.197</v>
      </c>
      <c r="I11" s="5">
        <f t="shared" si="22"/>
        <v>1478.23875</v>
      </c>
      <c r="J11" s="2">
        <v>517.50900000000001</v>
      </c>
      <c r="K11" s="5">
        <f t="shared" ref="K11:M11" si="23">J11*60/16</f>
        <v>1940.6587500000001</v>
      </c>
      <c r="L11" s="2">
        <v>664.01099999999997</v>
      </c>
      <c r="M11" s="5">
        <f t="shared" si="23"/>
        <v>2490.0412499999998</v>
      </c>
      <c r="N11" s="2">
        <v>807.21100000000001</v>
      </c>
      <c r="O11" s="5">
        <f t="shared" ref="O11" si="24">N11*60/16</f>
        <v>3027.0412500000002</v>
      </c>
    </row>
    <row r="12" spans="1:15" x14ac:dyDescent="0.25">
      <c r="A12" s="2">
        <v>10</v>
      </c>
      <c r="B12" s="2">
        <v>159.93299999999999</v>
      </c>
      <c r="C12" s="5">
        <f t="shared" si="0"/>
        <v>599.74874999999997</v>
      </c>
      <c r="D12" s="2">
        <v>203.411</v>
      </c>
      <c r="E12" s="5">
        <f t="shared" si="0"/>
        <v>762.79124999999999</v>
      </c>
      <c r="F12" s="2">
        <v>273.339</v>
      </c>
      <c r="G12" s="5">
        <f t="shared" ref="G12:I12" si="25">F12*60/16</f>
        <v>1025.02125</v>
      </c>
      <c r="H12" s="2">
        <v>398.976</v>
      </c>
      <c r="I12" s="5">
        <f t="shared" si="25"/>
        <v>1496.16</v>
      </c>
      <c r="J12" s="2">
        <v>528.40200000000004</v>
      </c>
      <c r="K12" s="5">
        <f t="shared" ref="K12:M12" si="26">J12*60/16</f>
        <v>1981.5075000000002</v>
      </c>
      <c r="L12" s="2">
        <v>656.54499999999996</v>
      </c>
      <c r="M12" s="5">
        <f t="shared" si="26"/>
        <v>2462.0437499999998</v>
      </c>
      <c r="N12" s="2">
        <v>810.86599999999999</v>
      </c>
      <c r="O12" s="5">
        <f t="shared" ref="O12" si="27">N12*60/16</f>
        <v>3040.7474999999999</v>
      </c>
    </row>
    <row r="13" spans="1:15" x14ac:dyDescent="0.25">
      <c r="A13" s="2">
        <v>11</v>
      </c>
      <c r="B13" s="2">
        <v>159.65100000000001</v>
      </c>
      <c r="C13" s="5">
        <f t="shared" si="0"/>
        <v>598.69125000000008</v>
      </c>
      <c r="D13" s="2">
        <v>200.892</v>
      </c>
      <c r="E13" s="5">
        <f t="shared" si="0"/>
        <v>753.34500000000003</v>
      </c>
      <c r="F13" s="2">
        <v>274.62200000000001</v>
      </c>
      <c r="G13" s="5">
        <f t="shared" ref="G13:I13" si="28">F13*60/16</f>
        <v>1029.8325</v>
      </c>
      <c r="H13" s="2">
        <v>400.78800000000001</v>
      </c>
      <c r="I13" s="5">
        <f t="shared" si="28"/>
        <v>1502.9549999999999</v>
      </c>
      <c r="J13" s="2">
        <v>522.125</v>
      </c>
      <c r="K13" s="5">
        <f t="shared" ref="K13:M13" si="29">J13*60/16</f>
        <v>1957.96875</v>
      </c>
      <c r="L13" s="2">
        <v>666.46299999999997</v>
      </c>
      <c r="M13" s="5">
        <f t="shared" si="29"/>
        <v>2499.2362499999999</v>
      </c>
      <c r="N13" s="2">
        <v>807.15700000000004</v>
      </c>
      <c r="O13" s="5">
        <f t="shared" ref="O13" si="30">N13*60/16</f>
        <v>3026.8387500000003</v>
      </c>
    </row>
    <row r="14" spans="1:15" x14ac:dyDescent="0.25">
      <c r="A14" s="2">
        <v>12</v>
      </c>
      <c r="B14" s="2">
        <v>158.072</v>
      </c>
      <c r="C14" s="5">
        <f t="shared" si="0"/>
        <v>592.77</v>
      </c>
      <c r="D14" s="2">
        <v>200.18700000000001</v>
      </c>
      <c r="E14" s="5">
        <f t="shared" si="0"/>
        <v>750.70125000000007</v>
      </c>
      <c r="F14" s="2">
        <v>272.90100000000001</v>
      </c>
      <c r="G14" s="5">
        <f t="shared" ref="G14:I14" si="31">F14*60/16</f>
        <v>1023.3787500000001</v>
      </c>
      <c r="H14" s="2">
        <v>403.55099999999999</v>
      </c>
      <c r="I14" s="5">
        <f t="shared" si="31"/>
        <v>1513.3162499999999</v>
      </c>
      <c r="J14" s="2">
        <v>525.22199999999998</v>
      </c>
      <c r="K14" s="5">
        <f t="shared" ref="K14:M14" si="32">J14*60/16</f>
        <v>1969.5825</v>
      </c>
      <c r="L14" s="2">
        <v>666.46299999999997</v>
      </c>
      <c r="M14" s="5">
        <f t="shared" si="32"/>
        <v>2499.2362499999999</v>
      </c>
      <c r="N14" s="2">
        <v>792.69200000000001</v>
      </c>
      <c r="O14" s="5">
        <f t="shared" ref="O14" si="33">N14*60/16</f>
        <v>2972.5950000000003</v>
      </c>
    </row>
    <row r="15" spans="1:15" x14ac:dyDescent="0.25">
      <c r="A15" s="2">
        <v>13</v>
      </c>
      <c r="B15" s="2">
        <v>160.791</v>
      </c>
      <c r="C15" s="5">
        <f t="shared" si="0"/>
        <v>602.96624999999995</v>
      </c>
      <c r="D15" s="2">
        <v>160.791</v>
      </c>
      <c r="E15" s="5">
        <f t="shared" si="0"/>
        <v>602.96624999999995</v>
      </c>
      <c r="F15" s="2">
        <v>267.911</v>
      </c>
      <c r="G15" s="5">
        <f t="shared" ref="G15:I15" si="34">F15*60/16</f>
        <v>1004.66625</v>
      </c>
      <c r="H15" s="2">
        <v>398.096</v>
      </c>
      <c r="I15" s="5">
        <f t="shared" si="34"/>
        <v>1492.8600000000001</v>
      </c>
      <c r="J15" s="2">
        <v>520.58500000000004</v>
      </c>
      <c r="K15" s="5">
        <f t="shared" ref="K15:M15" si="35">J15*60/16</f>
        <v>1952.1937500000001</v>
      </c>
      <c r="L15" s="2">
        <v>654.09400000000005</v>
      </c>
      <c r="M15" s="5">
        <f t="shared" si="35"/>
        <v>2452.8525</v>
      </c>
      <c r="N15" s="2">
        <v>810.83799999999997</v>
      </c>
      <c r="O15" s="5">
        <f t="shared" ref="O15" si="36">N15*60/16</f>
        <v>3040.6424999999999</v>
      </c>
    </row>
    <row r="16" spans="1:15" x14ac:dyDescent="0.25">
      <c r="A16" s="2">
        <v>14</v>
      </c>
      <c r="B16" s="2">
        <v>162.90799999999999</v>
      </c>
      <c r="C16" s="5">
        <f t="shared" si="0"/>
        <v>610.90499999999997</v>
      </c>
      <c r="D16" s="2">
        <v>208.49100000000001</v>
      </c>
      <c r="E16" s="5">
        <f t="shared" si="0"/>
        <v>781.84125000000006</v>
      </c>
      <c r="F16" s="2">
        <v>272.91300000000001</v>
      </c>
      <c r="G16" s="5">
        <f t="shared" ref="G16:I16" si="37">F16*60/16</f>
        <v>1023.42375</v>
      </c>
      <c r="H16" s="2">
        <v>408.24700000000001</v>
      </c>
      <c r="I16" s="5">
        <f t="shared" si="37"/>
        <v>1530.92625</v>
      </c>
      <c r="J16" s="2">
        <v>528.37800000000004</v>
      </c>
      <c r="K16" s="5">
        <f t="shared" ref="K16:M16" si="38">J16*60/16</f>
        <v>1981.4175000000002</v>
      </c>
      <c r="L16" s="2">
        <v>666.53700000000003</v>
      </c>
      <c r="M16" s="5">
        <f t="shared" si="38"/>
        <v>2499.5137500000001</v>
      </c>
      <c r="N16" s="2">
        <v>799.78700000000003</v>
      </c>
      <c r="O16" s="5">
        <f t="shared" ref="O16" si="39">N16*60/16</f>
        <v>2999.2012500000001</v>
      </c>
    </row>
    <row r="17" spans="1:15" x14ac:dyDescent="0.25">
      <c r="A17" s="2">
        <v>15</v>
      </c>
      <c r="B17" s="2">
        <v>163.964</v>
      </c>
      <c r="C17" s="5">
        <f t="shared" si="0"/>
        <v>614.86500000000001</v>
      </c>
      <c r="D17" s="2">
        <v>205.786</v>
      </c>
      <c r="E17" s="5">
        <f t="shared" si="0"/>
        <v>771.69749999999999</v>
      </c>
      <c r="F17" s="2">
        <v>270</v>
      </c>
      <c r="G17" s="5">
        <f t="shared" ref="G17:I17" si="40">F17*60/16</f>
        <v>1012.5</v>
      </c>
      <c r="H17" s="2">
        <v>400.815</v>
      </c>
      <c r="I17" s="5">
        <f t="shared" si="40"/>
        <v>1503.0562500000001</v>
      </c>
      <c r="J17" s="2">
        <v>528.36699999999996</v>
      </c>
      <c r="K17" s="5">
        <f t="shared" ref="K17:M17" si="41">J17*60/16</f>
        <v>1981.3762499999998</v>
      </c>
      <c r="L17" s="2">
        <v>656.58100000000002</v>
      </c>
      <c r="M17" s="5">
        <f t="shared" si="41"/>
        <v>2462.17875</v>
      </c>
      <c r="N17" s="2">
        <v>803.45500000000004</v>
      </c>
      <c r="O17" s="5">
        <f t="shared" ref="O17" si="42">N17*60/16</f>
        <v>3012.9562500000002</v>
      </c>
    </row>
    <row r="18" spans="1:15" x14ac:dyDescent="0.25">
      <c r="A18" s="2">
        <v>16</v>
      </c>
      <c r="B18" s="2">
        <v>160.82900000000001</v>
      </c>
      <c r="C18" s="5">
        <f t="shared" si="0"/>
        <v>603.10874999999999</v>
      </c>
      <c r="D18" s="2">
        <v>206.02099999999999</v>
      </c>
      <c r="E18" s="5">
        <f t="shared" si="0"/>
        <v>772.5787499999999</v>
      </c>
      <c r="F18" s="2">
        <v>269.137</v>
      </c>
      <c r="G18" s="5">
        <f t="shared" ref="G18:I18" si="43">F18*60/16</f>
        <v>1009.26375</v>
      </c>
      <c r="H18" s="2">
        <v>401.72699999999998</v>
      </c>
      <c r="I18" s="5">
        <f t="shared" si="43"/>
        <v>1506.4762499999999</v>
      </c>
      <c r="J18" s="2">
        <v>533.15599999999995</v>
      </c>
      <c r="K18" s="5">
        <f t="shared" ref="K18:M18" si="44">J18*60/16</f>
        <v>1999.3349999999998</v>
      </c>
      <c r="L18" s="2">
        <v>664.029</v>
      </c>
      <c r="M18" s="5">
        <f t="shared" si="44"/>
        <v>2490.1087499999999</v>
      </c>
      <c r="N18" s="2">
        <v>807.13</v>
      </c>
      <c r="O18" s="5">
        <f t="shared" ref="O18" si="45">N18*60/16</f>
        <v>3026.7375000000002</v>
      </c>
    </row>
    <row r="19" spans="1:15" x14ac:dyDescent="0.25">
      <c r="A19" s="2">
        <v>17</v>
      </c>
      <c r="B19" s="2">
        <v>163.32300000000001</v>
      </c>
      <c r="C19" s="5">
        <f t="shared" si="0"/>
        <v>612.46125000000006</v>
      </c>
      <c r="D19" s="2">
        <v>208.46899999999999</v>
      </c>
      <c r="E19" s="5">
        <f t="shared" si="0"/>
        <v>781.75874999999996</v>
      </c>
      <c r="F19" s="2">
        <v>272.52</v>
      </c>
      <c r="G19" s="5">
        <f t="shared" ref="G19:I19" si="46">F19*60/16</f>
        <v>1021.9499999999999</v>
      </c>
      <c r="H19" s="2">
        <v>404.50299999999999</v>
      </c>
      <c r="I19" s="5">
        <f t="shared" si="46"/>
        <v>1516.88625</v>
      </c>
      <c r="J19" s="2">
        <v>533.06799999999998</v>
      </c>
      <c r="K19" s="5">
        <f t="shared" ref="K19:M19" si="47">J19*60/16</f>
        <v>1999.0049999999999</v>
      </c>
      <c r="L19" s="2">
        <v>669.08299999999997</v>
      </c>
      <c r="M19" s="5">
        <f t="shared" si="47"/>
        <v>2509.0612499999997</v>
      </c>
      <c r="N19" s="2">
        <v>810.89300000000003</v>
      </c>
      <c r="O19" s="5">
        <f t="shared" ref="O19" si="48">N19*60/16</f>
        <v>3040.8487500000001</v>
      </c>
    </row>
    <row r="20" spans="1:15" x14ac:dyDescent="0.25">
      <c r="A20" s="2">
        <v>18</v>
      </c>
      <c r="B20" s="2">
        <v>159.072</v>
      </c>
      <c r="C20" s="5">
        <f t="shared" si="0"/>
        <v>596.52</v>
      </c>
      <c r="D20" s="2">
        <v>204.13</v>
      </c>
      <c r="E20" s="5">
        <f t="shared" si="0"/>
        <v>765.48749999999995</v>
      </c>
      <c r="F20" s="2">
        <v>270.82799999999997</v>
      </c>
      <c r="G20" s="5">
        <f t="shared" ref="G20:I20" si="49">F20*60/16</f>
        <v>1015.6049999999999</v>
      </c>
      <c r="H20" s="2">
        <v>401.74099999999999</v>
      </c>
      <c r="I20" s="5">
        <f t="shared" si="49"/>
        <v>1506.5287499999999</v>
      </c>
      <c r="J20" s="2">
        <v>529.99699999999996</v>
      </c>
      <c r="K20" s="5">
        <f t="shared" ref="K20:M20" si="50">J20*60/16</f>
        <v>1987.4887499999998</v>
      </c>
      <c r="L20" s="2">
        <v>661.52099999999996</v>
      </c>
      <c r="M20" s="5">
        <f t="shared" si="50"/>
        <v>2480.7037499999997</v>
      </c>
      <c r="N20" s="2">
        <v>803.48199999999997</v>
      </c>
      <c r="O20" s="5">
        <f t="shared" ref="O20" si="51">N20*60/16</f>
        <v>3013.0574999999999</v>
      </c>
    </row>
    <row r="21" spans="1:15" x14ac:dyDescent="0.25">
      <c r="A21" s="2">
        <v>19</v>
      </c>
      <c r="B21" s="2">
        <v>164.54</v>
      </c>
      <c r="C21" s="5">
        <f t="shared" si="0"/>
        <v>617.02499999999998</v>
      </c>
      <c r="D21" s="2">
        <v>209.47300000000001</v>
      </c>
      <c r="E21" s="5">
        <f t="shared" si="0"/>
        <v>785.52375000000006</v>
      </c>
      <c r="F21" s="2">
        <v>278.113</v>
      </c>
      <c r="G21" s="5">
        <f t="shared" ref="G21:I21" si="52">F21*60/16</f>
        <v>1042.9237499999999</v>
      </c>
      <c r="H21" s="2">
        <v>395.42</v>
      </c>
      <c r="I21" s="5">
        <f t="shared" si="52"/>
        <v>1482.825</v>
      </c>
      <c r="J21" s="2">
        <v>526.78899999999999</v>
      </c>
      <c r="K21" s="5">
        <f t="shared" ref="K21:M21" si="53">J21*60/16</f>
        <v>1975.45875</v>
      </c>
      <c r="L21" s="2">
        <v>666.5</v>
      </c>
      <c r="M21" s="5">
        <f t="shared" si="53"/>
        <v>2499.375</v>
      </c>
      <c r="N21" s="2">
        <v>799.78700000000003</v>
      </c>
      <c r="O21" s="5">
        <f t="shared" ref="O21" si="54">N21*60/16</f>
        <v>2999.2012500000001</v>
      </c>
    </row>
    <row r="22" spans="1:15" x14ac:dyDescent="0.25">
      <c r="A22" s="2">
        <v>20</v>
      </c>
      <c r="B22" s="2">
        <v>164.696</v>
      </c>
      <c r="C22" s="5">
        <f t="shared" si="0"/>
        <v>617.61</v>
      </c>
      <c r="D22" s="2">
        <v>205.81200000000001</v>
      </c>
      <c r="E22" s="5">
        <f t="shared" si="0"/>
        <v>771.79500000000007</v>
      </c>
      <c r="F22" s="2">
        <v>272.51400000000001</v>
      </c>
      <c r="G22" s="5">
        <f t="shared" ref="G22:I22" si="55">F22*60/16</f>
        <v>1021.9275</v>
      </c>
      <c r="H22" s="2">
        <v>403.59199999999998</v>
      </c>
      <c r="I22" s="5">
        <f t="shared" si="55"/>
        <v>1513.47</v>
      </c>
      <c r="J22" s="2">
        <v>529.96500000000003</v>
      </c>
      <c r="K22" s="5">
        <f t="shared" ref="K22:M22" si="56">J22*60/16</f>
        <v>1987.3687500000001</v>
      </c>
      <c r="L22" s="2">
        <v>661.50300000000004</v>
      </c>
      <c r="M22" s="5">
        <f t="shared" si="56"/>
        <v>2480.63625</v>
      </c>
      <c r="N22" s="2">
        <v>822.25599999999997</v>
      </c>
      <c r="O22" s="5">
        <f t="shared" ref="O22" si="57">N22*60/16</f>
        <v>3083.46</v>
      </c>
    </row>
    <row r="23" spans="1:15" x14ac:dyDescent="0.25">
      <c r="A23" s="3" t="s">
        <v>13</v>
      </c>
      <c r="B23" s="8">
        <f>AVERAGE(B3:B22)</f>
        <v>161.66985</v>
      </c>
      <c r="C23" s="9"/>
      <c r="D23" s="8">
        <f>AVERAGE(D3:D22)</f>
        <v>200.78410000000002</v>
      </c>
      <c r="E23" s="9"/>
      <c r="F23" s="8">
        <f>AVERAGE(F3:F22)</f>
        <v>272.4455999999999</v>
      </c>
      <c r="G23" s="9"/>
      <c r="H23" s="8">
        <f>AVERAGE(H3:H22)</f>
        <v>399.41609999999997</v>
      </c>
      <c r="I23" s="9"/>
      <c r="J23" s="8">
        <f>AVERAGE(J3:J22)</f>
        <v>526.52175</v>
      </c>
      <c r="K23" s="9"/>
      <c r="L23" s="8">
        <f>AVERAGE(L3:L22)</f>
        <v>663.66115000000013</v>
      </c>
      <c r="M23" s="9"/>
      <c r="N23" s="8">
        <f>AVERAGE(N3:N22)</f>
        <v>807.23805000000004</v>
      </c>
      <c r="O23" s="9"/>
    </row>
    <row r="24" spans="1:15" x14ac:dyDescent="0.25">
      <c r="A24" s="3" t="s">
        <v>14</v>
      </c>
      <c r="B24" s="8">
        <f>_xlfn.STDEV.S(B3:B22)</f>
        <v>2.6964363475364639</v>
      </c>
      <c r="C24" s="9"/>
      <c r="D24" s="8">
        <f>_xlfn.STDEV.S(D3:D22)</f>
        <v>10.114109732135807</v>
      </c>
      <c r="E24" s="9"/>
      <c r="F24" s="8">
        <f>_xlfn.STDEV.S(F3:F22)</f>
        <v>2.716972413319072</v>
      </c>
      <c r="G24" s="9"/>
      <c r="H24" s="8">
        <f>_xlfn.STDEV.S(H3:H22)</f>
        <v>3.901965158062898</v>
      </c>
      <c r="I24" s="9"/>
      <c r="J24" s="8">
        <f>_xlfn.STDEV.S(J3:J22)</f>
        <v>4.7382496087968118</v>
      </c>
      <c r="K24" s="9"/>
      <c r="L24" s="8">
        <f>_xlfn.STDEV.S(L3:L22)</f>
        <v>5.7306799750392328</v>
      </c>
      <c r="M24" s="9"/>
      <c r="N24" s="8">
        <f>_xlfn.STDEV.S(N3:N22)</f>
        <v>7.6432256794394089</v>
      </c>
      <c r="O24" s="9"/>
    </row>
    <row r="25" spans="1:15" x14ac:dyDescent="0.25">
      <c r="A25" s="3" t="s">
        <v>15</v>
      </c>
      <c r="B25" s="8">
        <f>B24/SQRT(COUNT(B3:B22))</f>
        <v>0.60294149700927802</v>
      </c>
      <c r="C25" s="9"/>
      <c r="D25" s="8">
        <f>D24/SQRT(COUNT(D3:D22))</f>
        <v>2.2615836892947851</v>
      </c>
      <c r="E25" s="9"/>
      <c r="F25" s="8">
        <f>F24/SQRT(COUNT(F3:F22))</f>
        <v>0.60753350091730995</v>
      </c>
      <c r="G25" s="9"/>
      <c r="H25" s="8">
        <f>H24/SQRT(COUNT(H3:H22))</f>
        <v>0.87250593392643516</v>
      </c>
      <c r="I25" s="9"/>
      <c r="J25" s="8">
        <f>J24/SQRT(COUNT(J3:J22))</f>
        <v>1.0595048219631455</v>
      </c>
      <c r="K25" s="9"/>
      <c r="L25" s="8">
        <f>L24/SQRT(COUNT(L3:L22))</f>
        <v>1.2814189981484523</v>
      </c>
      <c r="M25" s="9"/>
      <c r="N25" s="8">
        <f>N24/SQRT(COUNT(N3:N22))</f>
        <v>1.7090772186598535</v>
      </c>
      <c r="O25" s="9"/>
    </row>
    <row r="26" spans="1:15" x14ac:dyDescent="0.25">
      <c r="A26" s="3" t="s">
        <v>17</v>
      </c>
      <c r="B26" s="8">
        <f>B23*60/16</f>
        <v>606.26193749999993</v>
      </c>
      <c r="C26" s="9"/>
      <c r="D26" s="8">
        <f>D23*60/16</f>
        <v>752.94037500000013</v>
      </c>
      <c r="E26" s="9"/>
      <c r="F26" s="8">
        <f>F23*60/16</f>
        <v>1021.6709999999996</v>
      </c>
      <c r="G26" s="9"/>
      <c r="H26" s="8">
        <f>H23*60/16</f>
        <v>1497.8103749999998</v>
      </c>
      <c r="I26" s="9"/>
      <c r="J26" s="8">
        <f>J23*60/16</f>
        <v>1974.4565625</v>
      </c>
      <c r="K26" s="9"/>
      <c r="L26" s="8">
        <f>L23*60/16</f>
        <v>2488.7293125000006</v>
      </c>
      <c r="M26" s="9"/>
      <c r="N26" s="8">
        <f>N23*60/16</f>
        <v>3027.1426875000002</v>
      </c>
      <c r="O26" s="9"/>
    </row>
    <row r="27" spans="1:15" x14ac:dyDescent="0.25">
      <c r="A27" s="3" t="s">
        <v>18</v>
      </c>
      <c r="B27" s="8">
        <f>B25*60/16</f>
        <v>2.2610306137847926</v>
      </c>
      <c r="C27" s="9"/>
      <c r="D27" s="8">
        <f>D25*60/16</f>
        <v>8.4809388348554435</v>
      </c>
      <c r="E27" s="9"/>
      <c r="F27" s="8">
        <f>F25*60/16</f>
        <v>2.2782506284399124</v>
      </c>
      <c r="G27" s="9"/>
      <c r="H27" s="8">
        <f>H25*60/16</f>
        <v>3.2718972522241319</v>
      </c>
      <c r="I27" s="9"/>
      <c r="J27" s="8">
        <f>J25*60/16</f>
        <v>3.9731430823617959</v>
      </c>
      <c r="K27" s="9"/>
      <c r="L27" s="8">
        <f>L25*60/16</f>
        <v>4.8053212430566958</v>
      </c>
      <c r="M27" s="9"/>
      <c r="N27" s="8">
        <f>N25*60/16</f>
        <v>6.4090395699744507</v>
      </c>
      <c r="O27" s="9"/>
    </row>
    <row r="28" spans="1:15" x14ac:dyDescent="0.25">
      <c r="A28" s="3" t="s">
        <v>16</v>
      </c>
      <c r="B28" s="8">
        <f>B25/B23*100</f>
        <v>0.37294615972568668</v>
      </c>
      <c r="C28" s="9"/>
      <c r="D28" s="8">
        <f>D25/D23*100</f>
        <v>1.1263758879785724</v>
      </c>
      <c r="E28" s="9"/>
      <c r="F28" s="8">
        <f>F25/F23*100</f>
        <v>0.22299259041706315</v>
      </c>
      <c r="G28" s="9"/>
      <c r="H28" s="8">
        <f>H25/H23*100</f>
        <v>0.21844535909454707</v>
      </c>
      <c r="I28" s="9"/>
      <c r="J28" s="8">
        <f>J25/J23*100</f>
        <v>0.20122717095032552</v>
      </c>
      <c r="K28" s="9"/>
      <c r="L28" s="8">
        <f>L25/L23*100</f>
        <v>0.19308332243773077</v>
      </c>
      <c r="M28" s="9"/>
      <c r="N28" s="8">
        <f>N25/N23*100</f>
        <v>0.21171911044825667</v>
      </c>
      <c r="O28" s="9"/>
    </row>
    <row r="29" spans="1:15" x14ac:dyDescent="0.25">
      <c r="A29" s="3" t="s">
        <v>20</v>
      </c>
      <c r="B29" s="8" t="s">
        <v>19</v>
      </c>
      <c r="C29" s="9"/>
      <c r="D29" s="8" t="s">
        <v>21</v>
      </c>
      <c r="E29" s="9"/>
      <c r="F29" s="8" t="s">
        <v>23</v>
      </c>
      <c r="G29" s="9"/>
      <c r="H29" s="8" t="s">
        <v>26</v>
      </c>
      <c r="I29" s="9"/>
      <c r="J29" s="8" t="s">
        <v>28</v>
      </c>
      <c r="K29" s="9"/>
      <c r="L29" s="8" t="s">
        <v>30</v>
      </c>
      <c r="M29" s="9"/>
      <c r="N29" s="8" t="s">
        <v>33</v>
      </c>
      <c r="O29" s="9"/>
    </row>
    <row r="30" spans="1:15" x14ac:dyDescent="0.25">
      <c r="A30" s="4" t="s">
        <v>24</v>
      </c>
      <c r="B30" s="10">
        <v>0.01</v>
      </c>
      <c r="C30" s="11"/>
      <c r="D30" s="8" t="s">
        <v>22</v>
      </c>
      <c r="E30" s="9"/>
      <c r="F30" s="10">
        <v>2.1700000000000001E-2</v>
      </c>
      <c r="G30" s="11"/>
      <c r="H30" s="10" t="s">
        <v>27</v>
      </c>
      <c r="I30" s="11"/>
      <c r="J30" s="10" t="s">
        <v>29</v>
      </c>
      <c r="K30" s="11"/>
      <c r="L30" s="10" t="s">
        <v>31</v>
      </c>
      <c r="M30" s="11"/>
      <c r="N30" s="10" t="s">
        <v>35</v>
      </c>
      <c r="O30" s="11"/>
    </row>
    <row r="31" spans="1:15" x14ac:dyDescent="0.25">
      <c r="A31" s="4" t="s">
        <v>25</v>
      </c>
      <c r="B31" s="10">
        <v>3.7000000000000002E-3</v>
      </c>
      <c r="C31" s="11"/>
      <c r="D31" s="10">
        <v>1.1299999999999999E-2</v>
      </c>
      <c r="E31" s="11"/>
      <c r="F31" s="10">
        <v>2.2000000000000001E-3</v>
      </c>
      <c r="G31" s="11"/>
      <c r="H31" s="10">
        <v>2.2000000000000001E-3</v>
      </c>
      <c r="I31" s="11"/>
      <c r="J31" s="10">
        <v>2E-3</v>
      </c>
      <c r="K31" s="11"/>
      <c r="L31" s="10" t="s">
        <v>32</v>
      </c>
      <c r="M31" s="11"/>
      <c r="N31" s="10" t="s">
        <v>34</v>
      </c>
      <c r="O31" s="11"/>
    </row>
    <row r="35" spans="1:11" x14ac:dyDescent="0.25">
      <c r="A35" s="1" t="s">
        <v>0</v>
      </c>
      <c r="B35" s="12" t="s">
        <v>12</v>
      </c>
      <c r="C35" s="12"/>
      <c r="D35" s="12" t="s">
        <v>11</v>
      </c>
      <c r="E35" s="12"/>
      <c r="F35" s="6" t="s">
        <v>10</v>
      </c>
      <c r="G35" s="7"/>
      <c r="H35" s="6" t="s">
        <v>9</v>
      </c>
      <c r="I35" s="7"/>
      <c r="J35" s="6" t="s">
        <v>8</v>
      </c>
      <c r="K35" s="7"/>
    </row>
    <row r="36" spans="1:11" x14ac:dyDescent="0.25">
      <c r="A36" s="2">
        <v>1</v>
      </c>
      <c r="B36" s="2">
        <v>1479</v>
      </c>
      <c r="C36" s="5">
        <f t="shared" ref="C36:C55" si="58">B36*60/16</f>
        <v>5546.25</v>
      </c>
      <c r="D36" s="2">
        <v>1313</v>
      </c>
      <c r="E36" s="5">
        <f t="shared" ref="E36:E55" si="59">D36*60/16</f>
        <v>4923.75</v>
      </c>
      <c r="F36" s="2">
        <v>1181</v>
      </c>
      <c r="G36" s="5">
        <f t="shared" ref="G36:G55" si="60">F36*60/16</f>
        <v>4428.75</v>
      </c>
      <c r="H36" s="2">
        <v>1067</v>
      </c>
      <c r="I36" s="5">
        <f>H36*60/16</f>
        <v>4001.25</v>
      </c>
      <c r="J36" s="2">
        <v>911.88900000000001</v>
      </c>
      <c r="K36" s="5">
        <f>J36*60/16</f>
        <v>3419.5837500000002</v>
      </c>
    </row>
    <row r="37" spans="1:11" x14ac:dyDescent="0.25">
      <c r="A37" s="2">
        <v>2</v>
      </c>
      <c r="B37" s="2">
        <v>1467</v>
      </c>
      <c r="C37" s="5">
        <f t="shared" si="58"/>
        <v>5501.25</v>
      </c>
      <c r="D37" s="2">
        <v>1343</v>
      </c>
      <c r="E37" s="5">
        <f t="shared" si="59"/>
        <v>5036.25</v>
      </c>
      <c r="F37" s="2">
        <v>1214</v>
      </c>
      <c r="G37" s="5">
        <f t="shared" si="60"/>
        <v>4552.5</v>
      </c>
      <c r="H37" s="2">
        <v>1073</v>
      </c>
      <c r="I37" s="5">
        <f t="shared" ref="I37:K37" si="61">H37*60/16</f>
        <v>4023.75</v>
      </c>
      <c r="J37" s="2">
        <v>931.17100000000005</v>
      </c>
      <c r="K37" s="5">
        <f t="shared" si="61"/>
        <v>3491.8912500000001</v>
      </c>
    </row>
    <row r="38" spans="1:11" x14ac:dyDescent="0.25">
      <c r="A38" s="2">
        <v>3</v>
      </c>
      <c r="B38" s="2">
        <v>1479</v>
      </c>
      <c r="C38" s="5">
        <f t="shared" si="58"/>
        <v>5546.25</v>
      </c>
      <c r="D38" s="2">
        <v>1323</v>
      </c>
      <c r="E38" s="5">
        <f t="shared" si="59"/>
        <v>4961.25</v>
      </c>
      <c r="F38" s="2">
        <v>1189</v>
      </c>
      <c r="G38" s="5">
        <f t="shared" si="60"/>
        <v>4458.75</v>
      </c>
      <c r="H38" s="2">
        <v>1073</v>
      </c>
      <c r="I38" s="5">
        <f t="shared" ref="I38:K38" si="62">H38*60/16</f>
        <v>4023.75</v>
      </c>
      <c r="J38" s="2">
        <v>916.625</v>
      </c>
      <c r="K38" s="5">
        <f t="shared" si="62"/>
        <v>3437.34375</v>
      </c>
    </row>
    <row r="39" spans="1:11" x14ac:dyDescent="0.25">
      <c r="A39" s="2">
        <v>4</v>
      </c>
      <c r="B39" s="2">
        <v>1467</v>
      </c>
      <c r="C39" s="5">
        <f t="shared" si="58"/>
        <v>5501.25</v>
      </c>
      <c r="D39" s="2">
        <v>1333</v>
      </c>
      <c r="E39" s="5">
        <f t="shared" si="59"/>
        <v>4998.75</v>
      </c>
      <c r="F39" s="2">
        <v>1205</v>
      </c>
      <c r="G39" s="5">
        <f t="shared" si="60"/>
        <v>4518.75</v>
      </c>
      <c r="H39" s="2">
        <v>1067</v>
      </c>
      <c r="I39" s="5">
        <f t="shared" ref="I39:K39" si="63">H39*60/16</f>
        <v>4001.25</v>
      </c>
      <c r="J39" s="2">
        <v>926.28300000000002</v>
      </c>
      <c r="K39" s="5">
        <f t="shared" si="63"/>
        <v>3473.5612500000002</v>
      </c>
    </row>
    <row r="40" spans="1:11" x14ac:dyDescent="0.25">
      <c r="A40" s="2">
        <v>5</v>
      </c>
      <c r="B40" s="2">
        <v>1455</v>
      </c>
      <c r="C40" s="5">
        <f t="shared" si="58"/>
        <v>5456.25</v>
      </c>
      <c r="D40" s="2">
        <v>1323</v>
      </c>
      <c r="E40" s="5">
        <f t="shared" si="59"/>
        <v>4961.25</v>
      </c>
      <c r="F40" s="2">
        <v>1189</v>
      </c>
      <c r="G40" s="5">
        <f t="shared" si="60"/>
        <v>4458.75</v>
      </c>
      <c r="H40" s="2">
        <v>1060</v>
      </c>
      <c r="I40" s="5">
        <f t="shared" ref="I40:K40" si="64">H40*60/16</f>
        <v>3975</v>
      </c>
      <c r="J40" s="2">
        <v>911.85400000000004</v>
      </c>
      <c r="K40" s="5">
        <f t="shared" si="64"/>
        <v>3419.4525000000003</v>
      </c>
    </row>
    <row r="41" spans="1:11" x14ac:dyDescent="0.25">
      <c r="A41" s="2">
        <v>6</v>
      </c>
      <c r="B41" s="2">
        <v>1505</v>
      </c>
      <c r="C41" s="5">
        <f t="shared" si="58"/>
        <v>5643.75</v>
      </c>
      <c r="D41" s="2">
        <v>1333</v>
      </c>
      <c r="E41" s="5">
        <f t="shared" si="59"/>
        <v>4998.75</v>
      </c>
      <c r="F41" s="2">
        <v>1197</v>
      </c>
      <c r="G41" s="5">
        <f t="shared" si="60"/>
        <v>4488.75</v>
      </c>
      <c r="H41" s="2">
        <v>1093</v>
      </c>
      <c r="I41" s="5">
        <f t="shared" ref="I41:K41" si="65">H41*60/16</f>
        <v>4098.75</v>
      </c>
      <c r="J41" s="2">
        <v>926.21199999999999</v>
      </c>
      <c r="K41" s="5">
        <f t="shared" si="65"/>
        <v>3473.2950000000001</v>
      </c>
    </row>
    <row r="42" spans="1:11" x14ac:dyDescent="0.25">
      <c r="A42" s="2">
        <v>7</v>
      </c>
      <c r="B42" s="2">
        <v>1479</v>
      </c>
      <c r="C42" s="5">
        <f t="shared" si="58"/>
        <v>5546.25</v>
      </c>
      <c r="D42" s="2">
        <v>1333</v>
      </c>
      <c r="E42" s="5">
        <f t="shared" si="59"/>
        <v>4998.75</v>
      </c>
      <c r="F42" s="2">
        <v>1205</v>
      </c>
      <c r="G42" s="5">
        <f t="shared" si="60"/>
        <v>4518.75</v>
      </c>
      <c r="H42" s="2">
        <v>1073</v>
      </c>
      <c r="I42" s="5">
        <f t="shared" ref="I42:K42" si="66">H42*60/16</f>
        <v>4023.75</v>
      </c>
      <c r="J42" s="2">
        <v>926.24800000000005</v>
      </c>
      <c r="K42" s="5">
        <f t="shared" si="66"/>
        <v>3473.4300000000003</v>
      </c>
    </row>
    <row r="43" spans="1:11" x14ac:dyDescent="0.25">
      <c r="A43" s="2">
        <v>8</v>
      </c>
      <c r="B43" s="2">
        <v>1455</v>
      </c>
      <c r="C43" s="5">
        <f t="shared" si="58"/>
        <v>5456.25</v>
      </c>
      <c r="D43" s="2">
        <v>1343</v>
      </c>
      <c r="E43" s="5">
        <f t="shared" si="59"/>
        <v>5036.25</v>
      </c>
      <c r="F43" s="2">
        <v>1214</v>
      </c>
      <c r="G43" s="5">
        <f t="shared" si="60"/>
        <v>4552.5</v>
      </c>
      <c r="H43" s="2">
        <v>1054</v>
      </c>
      <c r="I43" s="5">
        <f t="shared" ref="I43:K43" si="67">H43*60/16</f>
        <v>3952.5</v>
      </c>
      <c r="J43" s="2">
        <v>936.07399999999996</v>
      </c>
      <c r="K43" s="5">
        <f t="shared" si="67"/>
        <v>3510.2774999999997</v>
      </c>
    </row>
    <row r="44" spans="1:11" x14ac:dyDescent="0.25">
      <c r="A44" s="2">
        <v>9</v>
      </c>
      <c r="B44" s="2">
        <v>1467</v>
      </c>
      <c r="C44" s="5">
        <f t="shared" si="58"/>
        <v>5501.25</v>
      </c>
      <c r="D44" s="2">
        <v>1333</v>
      </c>
      <c r="E44" s="5">
        <f t="shared" si="59"/>
        <v>4998.75</v>
      </c>
      <c r="F44" s="2">
        <v>1197</v>
      </c>
      <c r="G44" s="5">
        <f t="shared" si="60"/>
        <v>4488.75</v>
      </c>
      <c r="H44" s="2">
        <v>1073</v>
      </c>
      <c r="I44" s="5">
        <f t="shared" ref="I44:K44" si="68">H44*60/16</f>
        <v>4023.75</v>
      </c>
      <c r="J44" s="2">
        <v>921.41099999999994</v>
      </c>
      <c r="K44" s="5">
        <f t="shared" si="68"/>
        <v>3455.2912499999998</v>
      </c>
    </row>
    <row r="45" spans="1:11" x14ac:dyDescent="0.25">
      <c r="A45" s="2">
        <v>10</v>
      </c>
      <c r="B45" s="2">
        <v>1479</v>
      </c>
      <c r="C45" s="5">
        <f t="shared" si="58"/>
        <v>5546.25</v>
      </c>
      <c r="D45" s="2">
        <v>1323</v>
      </c>
      <c r="E45" s="5">
        <f t="shared" si="59"/>
        <v>4961.25</v>
      </c>
      <c r="F45" s="2">
        <v>1197</v>
      </c>
      <c r="G45" s="5">
        <f t="shared" si="60"/>
        <v>4488.75</v>
      </c>
      <c r="H45" s="2">
        <v>1073</v>
      </c>
      <c r="I45" s="5">
        <f t="shared" ref="I45:K45" si="69">H45*60/16</f>
        <v>4023.75</v>
      </c>
      <c r="J45" s="2">
        <v>921.41099999999994</v>
      </c>
      <c r="K45" s="5">
        <f t="shared" si="69"/>
        <v>3455.2912499999998</v>
      </c>
    </row>
    <row r="46" spans="1:11" x14ac:dyDescent="0.25">
      <c r="A46" s="2">
        <v>11</v>
      </c>
      <c r="B46" s="2">
        <v>1467</v>
      </c>
      <c r="C46" s="5">
        <f t="shared" si="58"/>
        <v>5501.25</v>
      </c>
      <c r="D46" s="2">
        <v>1364</v>
      </c>
      <c r="E46" s="5">
        <f t="shared" si="59"/>
        <v>5115</v>
      </c>
      <c r="F46" s="2">
        <v>1231</v>
      </c>
      <c r="G46" s="5">
        <f t="shared" si="60"/>
        <v>4616.25</v>
      </c>
      <c r="H46" s="2">
        <v>1067</v>
      </c>
      <c r="I46" s="5">
        <f t="shared" ref="I46:K46" si="70">H46*60/16</f>
        <v>4001.25</v>
      </c>
      <c r="J46" s="2">
        <v>946.18600000000004</v>
      </c>
      <c r="K46" s="5">
        <f t="shared" si="70"/>
        <v>3548.1975000000002</v>
      </c>
    </row>
    <row r="47" spans="1:11" x14ac:dyDescent="0.25">
      <c r="A47" s="2">
        <v>12</v>
      </c>
      <c r="B47" s="2">
        <v>1443</v>
      </c>
      <c r="C47" s="5">
        <f t="shared" si="58"/>
        <v>5411.25</v>
      </c>
      <c r="D47" s="2">
        <v>1343</v>
      </c>
      <c r="E47" s="5">
        <f t="shared" si="59"/>
        <v>5036.25</v>
      </c>
      <c r="F47" s="2">
        <v>1205</v>
      </c>
      <c r="G47" s="5">
        <f t="shared" si="60"/>
        <v>4518.75</v>
      </c>
      <c r="H47" s="2">
        <v>1054</v>
      </c>
      <c r="I47" s="5">
        <f t="shared" ref="I47:K47" si="71">H47*60/16</f>
        <v>3952.5</v>
      </c>
      <c r="J47" s="2">
        <v>926.31899999999996</v>
      </c>
      <c r="K47" s="5">
        <f t="shared" si="71"/>
        <v>3473.69625</v>
      </c>
    </row>
    <row r="48" spans="1:11" x14ac:dyDescent="0.25">
      <c r="A48" s="2">
        <v>13</v>
      </c>
      <c r="B48" s="2">
        <v>1479</v>
      </c>
      <c r="C48" s="5">
        <f t="shared" si="58"/>
        <v>5546.25</v>
      </c>
      <c r="D48" s="2">
        <v>1323</v>
      </c>
      <c r="E48" s="5">
        <f t="shared" si="59"/>
        <v>4961.25</v>
      </c>
      <c r="F48" s="2">
        <v>1189</v>
      </c>
      <c r="G48" s="5">
        <f t="shared" si="60"/>
        <v>4458.75</v>
      </c>
      <c r="H48" s="2">
        <v>1073</v>
      </c>
      <c r="I48" s="5">
        <f t="shared" ref="I48:K48" si="72">H48*60/16</f>
        <v>4023.75</v>
      </c>
      <c r="J48" s="2">
        <v>916.625</v>
      </c>
      <c r="K48" s="5">
        <f t="shared" si="72"/>
        <v>3437.34375</v>
      </c>
    </row>
    <row r="49" spans="1:11" x14ac:dyDescent="0.25">
      <c r="A49" s="2">
        <v>14</v>
      </c>
      <c r="B49" s="2">
        <v>1467</v>
      </c>
      <c r="C49" s="5">
        <f t="shared" si="58"/>
        <v>5501.25</v>
      </c>
      <c r="D49" s="2">
        <v>1333</v>
      </c>
      <c r="E49" s="5">
        <f t="shared" si="59"/>
        <v>4998.75</v>
      </c>
      <c r="F49" s="2">
        <v>1205</v>
      </c>
      <c r="G49" s="5">
        <f t="shared" si="60"/>
        <v>4518.75</v>
      </c>
      <c r="H49" s="2">
        <v>1060</v>
      </c>
      <c r="I49" s="5">
        <f t="shared" ref="I49:K49" si="73">H49*60/16</f>
        <v>3975</v>
      </c>
      <c r="J49" s="2">
        <v>931.17100000000005</v>
      </c>
      <c r="K49" s="5">
        <f t="shared" si="73"/>
        <v>3491.8912500000001</v>
      </c>
    </row>
    <row r="50" spans="1:11" x14ac:dyDescent="0.25">
      <c r="A50" s="2">
        <v>15</v>
      </c>
      <c r="B50" s="2">
        <v>1467</v>
      </c>
      <c r="C50" s="5">
        <f t="shared" si="58"/>
        <v>5501.25</v>
      </c>
      <c r="D50" s="2">
        <v>1343</v>
      </c>
      <c r="E50" s="5">
        <f t="shared" si="59"/>
        <v>5036.25</v>
      </c>
      <c r="F50" s="2">
        <v>1189</v>
      </c>
      <c r="G50" s="5">
        <f t="shared" si="60"/>
        <v>4458.75</v>
      </c>
      <c r="H50" s="2">
        <v>1067</v>
      </c>
      <c r="I50" s="5">
        <f t="shared" ref="I50:K50" si="74">H50*60/16</f>
        <v>4001.25</v>
      </c>
      <c r="J50" s="2">
        <v>931.17100000000005</v>
      </c>
      <c r="K50" s="5">
        <f t="shared" si="74"/>
        <v>3491.8912500000001</v>
      </c>
    </row>
    <row r="51" spans="1:11" x14ac:dyDescent="0.25">
      <c r="A51" s="2">
        <v>16</v>
      </c>
      <c r="B51" s="2">
        <v>1455</v>
      </c>
      <c r="C51" s="5">
        <f t="shared" si="58"/>
        <v>5456.25</v>
      </c>
      <c r="D51" s="2">
        <v>1343</v>
      </c>
      <c r="E51" s="5">
        <f t="shared" si="59"/>
        <v>5036.25</v>
      </c>
      <c r="F51" s="2">
        <v>1205</v>
      </c>
      <c r="G51" s="5">
        <f t="shared" si="60"/>
        <v>4518.75</v>
      </c>
      <c r="H51" s="2">
        <v>1054</v>
      </c>
      <c r="I51" s="5">
        <f t="shared" ref="I51:K51" si="75">H51*60/16</f>
        <v>3952.5</v>
      </c>
      <c r="J51" s="2">
        <v>926.24800000000005</v>
      </c>
      <c r="K51" s="5">
        <f t="shared" si="75"/>
        <v>3473.4300000000003</v>
      </c>
    </row>
    <row r="52" spans="1:11" x14ac:dyDescent="0.25">
      <c r="A52" s="2">
        <v>17</v>
      </c>
      <c r="B52" s="2">
        <v>1467</v>
      </c>
      <c r="C52" s="5">
        <f t="shared" si="58"/>
        <v>5501.25</v>
      </c>
      <c r="D52" s="2">
        <v>1343</v>
      </c>
      <c r="E52" s="5">
        <f t="shared" si="59"/>
        <v>5036.25</v>
      </c>
      <c r="F52" s="2">
        <v>1214</v>
      </c>
      <c r="G52" s="5">
        <f t="shared" si="60"/>
        <v>4552.5</v>
      </c>
      <c r="H52" s="2">
        <v>1067</v>
      </c>
      <c r="I52" s="5">
        <f t="shared" ref="I52:K52" si="76">H52*60/16</f>
        <v>4001.25</v>
      </c>
      <c r="J52" s="2">
        <v>931.24300000000005</v>
      </c>
      <c r="K52" s="5">
        <f t="shared" si="76"/>
        <v>3492.1612500000001</v>
      </c>
    </row>
    <row r="53" spans="1:11" x14ac:dyDescent="0.25">
      <c r="A53" s="2">
        <v>18</v>
      </c>
      <c r="B53" s="2">
        <v>1479</v>
      </c>
      <c r="C53" s="5">
        <f t="shared" si="58"/>
        <v>5546.25</v>
      </c>
      <c r="D53" s="2">
        <v>1323</v>
      </c>
      <c r="E53" s="5">
        <f t="shared" si="59"/>
        <v>4961.25</v>
      </c>
      <c r="F53" s="2">
        <v>1197</v>
      </c>
      <c r="G53" s="5">
        <f t="shared" si="60"/>
        <v>4488.75</v>
      </c>
      <c r="H53" s="2">
        <v>1067</v>
      </c>
      <c r="I53" s="5">
        <f t="shared" ref="I53:K53" si="77">H53*60/16</f>
        <v>4001.25</v>
      </c>
      <c r="J53" s="2">
        <v>921.48199999999997</v>
      </c>
      <c r="K53" s="5">
        <f t="shared" si="77"/>
        <v>3455.5574999999999</v>
      </c>
    </row>
    <row r="54" spans="1:11" x14ac:dyDescent="0.25">
      <c r="A54" s="2">
        <v>19</v>
      </c>
      <c r="B54" s="2">
        <v>1479</v>
      </c>
      <c r="C54" s="5">
        <f t="shared" si="58"/>
        <v>5546.25</v>
      </c>
      <c r="D54" s="2">
        <v>1333</v>
      </c>
      <c r="E54" s="5">
        <f t="shared" si="59"/>
        <v>4998.75</v>
      </c>
      <c r="F54" s="2">
        <v>1189</v>
      </c>
      <c r="G54" s="5">
        <f t="shared" si="60"/>
        <v>4458.75</v>
      </c>
      <c r="H54" s="2">
        <v>1080</v>
      </c>
      <c r="I54" s="5">
        <f t="shared" ref="I54:K54" si="78">H54*60/16</f>
        <v>4050</v>
      </c>
      <c r="J54" s="2">
        <v>926.31899999999996</v>
      </c>
      <c r="K54" s="5">
        <f t="shared" si="78"/>
        <v>3473.69625</v>
      </c>
    </row>
    <row r="55" spans="1:11" x14ac:dyDescent="0.25">
      <c r="A55" s="2">
        <v>20</v>
      </c>
      <c r="B55" s="2">
        <v>1467</v>
      </c>
      <c r="C55" s="5">
        <f t="shared" si="58"/>
        <v>5501.25</v>
      </c>
      <c r="D55" s="2">
        <v>1333</v>
      </c>
      <c r="E55" s="5">
        <f t="shared" si="59"/>
        <v>4998.75</v>
      </c>
      <c r="F55" s="2">
        <v>1205</v>
      </c>
      <c r="G55" s="5">
        <f t="shared" si="60"/>
        <v>4518.75</v>
      </c>
      <c r="H55" s="2">
        <v>1067</v>
      </c>
      <c r="I55" s="5">
        <f t="shared" ref="I55:K55" si="79">H55*60/16</f>
        <v>4001.25</v>
      </c>
      <c r="J55" s="2">
        <v>926.28300000000002</v>
      </c>
      <c r="K55" s="5">
        <f t="shared" si="79"/>
        <v>3473.5612500000002</v>
      </c>
    </row>
    <row r="56" spans="1:11" x14ac:dyDescent="0.25">
      <c r="A56" s="3" t="s">
        <v>13</v>
      </c>
      <c r="B56" s="13">
        <f>AVERAGE(B36:B55)</f>
        <v>1470.1</v>
      </c>
      <c r="C56" s="13"/>
      <c r="D56" s="13">
        <f>AVERAGE(D36:D55)</f>
        <v>1334.05</v>
      </c>
      <c r="E56" s="13"/>
      <c r="F56" s="8">
        <f>AVERAGE(F36:F55)</f>
        <v>1200.8499999999999</v>
      </c>
      <c r="G56" s="9"/>
      <c r="H56" s="8">
        <f>AVERAGE(H36:H55)</f>
        <v>1068.0999999999999</v>
      </c>
      <c r="I56" s="9"/>
      <c r="J56" s="8">
        <f>AVERAGE(J36:J55)</f>
        <v>925.61124999999993</v>
      </c>
      <c r="K56" s="9"/>
    </row>
    <row r="57" spans="1:11" x14ac:dyDescent="0.25">
      <c r="A57" s="3" t="s">
        <v>14</v>
      </c>
      <c r="B57" s="13">
        <f>_xlfn.STDEV.S(B36:B55)</f>
        <v>13.114475730436595</v>
      </c>
      <c r="C57" s="13"/>
      <c r="D57" s="13">
        <f>_xlfn.STDEV.S(D36:D55)</f>
        <v>11.329862729692898</v>
      </c>
      <c r="E57" s="13"/>
      <c r="F57" s="8">
        <f>_xlfn.STDEV.S(F36:F55)</f>
        <v>11.891062543820576</v>
      </c>
      <c r="G57" s="9"/>
      <c r="H57" s="8">
        <f>_xlfn.STDEV.S(H36:H55)</f>
        <v>9.2957262392881113</v>
      </c>
      <c r="I57" s="9"/>
      <c r="J57" s="8">
        <f>_xlfn.STDEV.S(J36:J55)</f>
        <v>8.116639886028814</v>
      </c>
      <c r="K57" s="9"/>
    </row>
    <row r="58" spans="1:11" x14ac:dyDescent="0.25">
      <c r="A58" s="3" t="s">
        <v>15</v>
      </c>
      <c r="B58" s="13">
        <f>B57/SQRT(COUNT(B36:B55))</f>
        <v>2.9324859222527433</v>
      </c>
      <c r="C58" s="13"/>
      <c r="D58" s="13">
        <f>D57/SQRT(COUNT(D36:D55))</f>
        <v>2.5334343239334647</v>
      </c>
      <c r="E58" s="13"/>
      <c r="F58" s="8">
        <f>F57/SQRT(COUNT(F36:F55))</f>
        <v>2.658922417268438</v>
      </c>
      <c r="G58" s="9"/>
      <c r="H58" s="8">
        <f>H57/SQRT(COUNT(H36:H55))</f>
        <v>2.0785875771276694</v>
      </c>
      <c r="I58" s="9"/>
      <c r="J58" s="8">
        <f>J57/SQRT(COUNT(J36:J55))</f>
        <v>1.8149358534046574</v>
      </c>
      <c r="K58" s="9"/>
    </row>
    <row r="59" spans="1:11" x14ac:dyDescent="0.25">
      <c r="A59" s="3" t="s">
        <v>17</v>
      </c>
      <c r="B59" s="8">
        <f>B56*60/16</f>
        <v>5512.875</v>
      </c>
      <c r="C59" s="9"/>
      <c r="D59" s="8">
        <f>D56*60/16</f>
        <v>5002.6875</v>
      </c>
      <c r="E59" s="9"/>
      <c r="F59" s="8">
        <f>F56*60/16</f>
        <v>4503.1875</v>
      </c>
      <c r="G59" s="9"/>
      <c r="H59" s="8">
        <f>H56*60/16</f>
        <v>4005.3749999999995</v>
      </c>
      <c r="I59" s="9"/>
      <c r="J59" s="8">
        <f>J56*60/16</f>
        <v>3471.0421874999997</v>
      </c>
      <c r="K59" s="9"/>
    </row>
    <row r="60" spans="1:11" x14ac:dyDescent="0.25">
      <c r="A60" s="3" t="s">
        <v>18</v>
      </c>
      <c r="B60" s="8">
        <f>B58*60/16</f>
        <v>10.996822208447787</v>
      </c>
      <c r="C60" s="9"/>
      <c r="D60" s="8">
        <f>D58*60/16</f>
        <v>9.500378714750493</v>
      </c>
      <c r="E60" s="9"/>
      <c r="F60" s="8">
        <f>F58*60/16</f>
        <v>9.9709590647566433</v>
      </c>
      <c r="G60" s="9"/>
      <c r="H60" s="8">
        <f>H58*60/16</f>
        <v>7.7947034142287599</v>
      </c>
      <c r="I60" s="9"/>
      <c r="J60" s="8">
        <f>J58*60/16</f>
        <v>6.8060094502674655</v>
      </c>
      <c r="K60" s="9"/>
    </row>
    <row r="61" spans="1:11" x14ac:dyDescent="0.25">
      <c r="A61" s="3" t="s">
        <v>16</v>
      </c>
      <c r="B61" s="13">
        <f>B58/B56*100</f>
        <v>0.1994752685023293</v>
      </c>
      <c r="C61" s="13"/>
      <c r="D61" s="13">
        <f>D58/D56*100</f>
        <v>0.18990550008871218</v>
      </c>
      <c r="E61" s="13"/>
      <c r="F61" s="8">
        <f>F58/F56*100</f>
        <v>0.22142002891855253</v>
      </c>
      <c r="G61" s="9"/>
      <c r="H61" s="8">
        <f>H58/H56*100</f>
        <v>0.19460608343110847</v>
      </c>
      <c r="I61" s="9"/>
      <c r="J61" s="8">
        <f>J58/J56*100</f>
        <v>0.19607970985709794</v>
      </c>
      <c r="K61" s="9"/>
    </row>
    <row r="62" spans="1:11" x14ac:dyDescent="0.25">
      <c r="A62" s="3" t="s">
        <v>20</v>
      </c>
      <c r="B62" s="8" t="s">
        <v>47</v>
      </c>
      <c r="C62" s="9"/>
      <c r="D62" s="8" t="s">
        <v>36</v>
      </c>
      <c r="E62" s="9"/>
      <c r="F62" s="8" t="s">
        <v>38</v>
      </c>
      <c r="G62" s="9"/>
      <c r="H62" s="8" t="s">
        <v>42</v>
      </c>
      <c r="I62" s="9"/>
      <c r="J62" s="8" t="s">
        <v>44</v>
      </c>
      <c r="K62" s="9"/>
    </row>
    <row r="63" spans="1:11" x14ac:dyDescent="0.25">
      <c r="A63" s="4" t="s">
        <v>24</v>
      </c>
      <c r="B63" s="10" t="s">
        <v>40</v>
      </c>
      <c r="C63" s="9"/>
      <c r="D63" s="10" t="s">
        <v>37</v>
      </c>
      <c r="E63" s="9"/>
      <c r="F63" s="10" t="s">
        <v>39</v>
      </c>
      <c r="G63" s="11"/>
      <c r="H63" s="10" t="s">
        <v>43</v>
      </c>
      <c r="I63" s="11"/>
      <c r="J63" s="10" t="s">
        <v>46</v>
      </c>
      <c r="K63" s="11"/>
    </row>
    <row r="64" spans="1:11" x14ac:dyDescent="0.25">
      <c r="A64" s="4" t="s">
        <v>25</v>
      </c>
      <c r="B64" s="10" t="s">
        <v>48</v>
      </c>
      <c r="C64" s="9"/>
      <c r="D64" s="10">
        <v>1.8E-3</v>
      </c>
      <c r="E64" s="9"/>
      <c r="F64" s="10" t="s">
        <v>40</v>
      </c>
      <c r="G64" s="11"/>
      <c r="H64" s="10" t="s">
        <v>32</v>
      </c>
      <c r="I64" s="11"/>
      <c r="J64" s="10" t="s">
        <v>45</v>
      </c>
      <c r="K64" s="11"/>
    </row>
  </sheetData>
  <mergeCells count="117">
    <mergeCell ref="B2:C2"/>
    <mergeCell ref="H2:I2"/>
    <mergeCell ref="H23:I23"/>
    <mergeCell ref="H24:I24"/>
    <mergeCell ref="H25:I25"/>
    <mergeCell ref="D27:E27"/>
    <mergeCell ref="D28:E28"/>
    <mergeCell ref="D29:E29"/>
    <mergeCell ref="F2:G2"/>
    <mergeCell ref="F23:G23"/>
    <mergeCell ref="F24:G24"/>
    <mergeCell ref="F25:G25"/>
    <mergeCell ref="F26:G26"/>
    <mergeCell ref="F27:G27"/>
    <mergeCell ref="D2:E2"/>
    <mergeCell ref="D23:E23"/>
    <mergeCell ref="D24:E24"/>
    <mergeCell ref="D25:E25"/>
    <mergeCell ref="D26:E26"/>
    <mergeCell ref="N2:O2"/>
    <mergeCell ref="N23:O23"/>
    <mergeCell ref="N24:O24"/>
    <mergeCell ref="N25:O25"/>
    <mergeCell ref="J26:K26"/>
    <mergeCell ref="J27:K27"/>
    <mergeCell ref="J28:K28"/>
    <mergeCell ref="J29:K29"/>
    <mergeCell ref="J30:K30"/>
    <mergeCell ref="L2:M2"/>
    <mergeCell ref="L23:M23"/>
    <mergeCell ref="L24:M24"/>
    <mergeCell ref="L25:M25"/>
    <mergeCell ref="J2:K2"/>
    <mergeCell ref="J23:K23"/>
    <mergeCell ref="J24:K24"/>
    <mergeCell ref="J25:K25"/>
    <mergeCell ref="N26:O26"/>
    <mergeCell ref="N27:O27"/>
    <mergeCell ref="N28:O28"/>
    <mergeCell ref="N29:O29"/>
    <mergeCell ref="N30:O30"/>
    <mergeCell ref="J31:K31"/>
    <mergeCell ref="L31:M31"/>
    <mergeCell ref="N31:O31"/>
    <mergeCell ref="L26:M26"/>
    <mergeCell ref="L27:M27"/>
    <mergeCell ref="L28:M28"/>
    <mergeCell ref="L29:M29"/>
    <mergeCell ref="L30:M30"/>
    <mergeCell ref="H26:I26"/>
    <mergeCell ref="H27:I27"/>
    <mergeCell ref="H28:I28"/>
    <mergeCell ref="H29:I29"/>
    <mergeCell ref="H30:I30"/>
    <mergeCell ref="D62:E62"/>
    <mergeCell ref="D63:E63"/>
    <mergeCell ref="D64:E64"/>
    <mergeCell ref="D56:E56"/>
    <mergeCell ref="D57:E57"/>
    <mergeCell ref="D58:E58"/>
    <mergeCell ref="D59:E59"/>
    <mergeCell ref="D60:E60"/>
    <mergeCell ref="D61:E61"/>
    <mergeCell ref="F62:G62"/>
    <mergeCell ref="F63:G63"/>
    <mergeCell ref="F64:G64"/>
    <mergeCell ref="F56:G56"/>
    <mergeCell ref="F57:G57"/>
    <mergeCell ref="F58:G58"/>
    <mergeCell ref="F59:G59"/>
    <mergeCell ref="F60:G60"/>
    <mergeCell ref="F61:G61"/>
    <mergeCell ref="H57:I57"/>
    <mergeCell ref="H58:I58"/>
    <mergeCell ref="H59:I59"/>
    <mergeCell ref="H60:I60"/>
    <mergeCell ref="B23:C23"/>
    <mergeCell ref="B24:C24"/>
    <mergeCell ref="B26:C26"/>
    <mergeCell ref="B31:C31"/>
    <mergeCell ref="D31:E31"/>
    <mergeCell ref="F31:G31"/>
    <mergeCell ref="B30:C30"/>
    <mergeCell ref="B27:C27"/>
    <mergeCell ref="B29:C29"/>
    <mergeCell ref="B28:C28"/>
    <mergeCell ref="B25:C25"/>
    <mergeCell ref="D35:E35"/>
    <mergeCell ref="H31:I31"/>
    <mergeCell ref="F28:G28"/>
    <mergeCell ref="F29:G29"/>
    <mergeCell ref="D30:E30"/>
    <mergeCell ref="F30:G30"/>
    <mergeCell ref="B62:C62"/>
    <mergeCell ref="B63:C63"/>
    <mergeCell ref="B64:C64"/>
    <mergeCell ref="J62:K62"/>
    <mergeCell ref="J63:K63"/>
    <mergeCell ref="J64:K64"/>
    <mergeCell ref="B35:C35"/>
    <mergeCell ref="B56:C56"/>
    <mergeCell ref="B57:C57"/>
    <mergeCell ref="B58:C58"/>
    <mergeCell ref="B59:C59"/>
    <mergeCell ref="B60:C60"/>
    <mergeCell ref="B61:C61"/>
    <mergeCell ref="H61:I61"/>
    <mergeCell ref="H62:I62"/>
    <mergeCell ref="H63:I63"/>
    <mergeCell ref="H64:I64"/>
    <mergeCell ref="J56:K56"/>
    <mergeCell ref="J57:K57"/>
    <mergeCell ref="J58:K58"/>
    <mergeCell ref="J59:K59"/>
    <mergeCell ref="J60:K60"/>
    <mergeCell ref="J61:K61"/>
    <mergeCell ref="H56:I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8387-9B2B-4BC9-AF1F-70BC94D50B67}">
  <dimension ref="A4:Q68"/>
  <sheetViews>
    <sheetView tabSelected="1" workbookViewId="0">
      <selection activeCell="D37" sqref="D37"/>
    </sheetView>
  </sheetViews>
  <sheetFormatPr defaultRowHeight="15" x14ac:dyDescent="0.25"/>
  <cols>
    <col min="1" max="1" width="24.85546875" bestFit="1" customWidth="1"/>
    <col min="2" max="3" width="14.28515625" customWidth="1"/>
    <col min="4" max="4" width="18.7109375" customWidth="1"/>
    <col min="5" max="5" width="15.28515625" customWidth="1"/>
    <col min="6" max="6" width="17.28515625" customWidth="1"/>
    <col min="7" max="7" width="14" customWidth="1"/>
    <col min="8" max="8" width="18.85546875" customWidth="1"/>
    <col min="9" max="9" width="17.5703125" customWidth="1"/>
    <col min="10" max="10" width="19.140625" customWidth="1"/>
    <col min="11" max="11" width="16.5703125" customWidth="1"/>
    <col min="12" max="12" width="18.85546875" customWidth="1"/>
    <col min="13" max="13" width="14.85546875" customWidth="1"/>
    <col min="14" max="14" width="16.28515625" customWidth="1"/>
    <col min="15" max="15" width="15.5703125" customWidth="1"/>
    <col min="16" max="17" width="9.140625" customWidth="1"/>
  </cols>
  <sheetData>
    <row r="4" spans="1:15" x14ac:dyDescent="0.25">
      <c r="A4" s="15" t="s">
        <v>61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7" spans="1:15" x14ac:dyDescent="0.25">
      <c r="A7" s="35" t="s">
        <v>49</v>
      </c>
      <c r="B7" s="35">
        <v>600</v>
      </c>
      <c r="C7" s="32" t="s">
        <v>76</v>
      </c>
      <c r="D7" s="35">
        <v>800</v>
      </c>
      <c r="E7" s="32" t="s">
        <v>76</v>
      </c>
      <c r="F7" s="35">
        <v>1000</v>
      </c>
      <c r="G7" s="32" t="s">
        <v>76</v>
      </c>
      <c r="H7" s="35">
        <v>1500</v>
      </c>
      <c r="I7" s="32" t="s">
        <v>76</v>
      </c>
      <c r="J7" s="35">
        <v>2000</v>
      </c>
      <c r="K7" s="32" t="s">
        <v>76</v>
      </c>
      <c r="L7" s="35">
        <v>2500</v>
      </c>
      <c r="M7" s="32" t="s">
        <v>76</v>
      </c>
      <c r="N7" s="35">
        <v>3000</v>
      </c>
      <c r="O7" s="32" t="s">
        <v>76</v>
      </c>
    </row>
    <row r="8" spans="1:15" x14ac:dyDescent="0.25">
      <c r="A8" s="28">
        <v>1</v>
      </c>
      <c r="B8" s="28">
        <v>608</v>
      </c>
      <c r="C8" s="44">
        <f>(ABS(B8-B7))/100/100</f>
        <v>8.0000000000000004E-4</v>
      </c>
      <c r="D8" s="28">
        <v>803</v>
      </c>
      <c r="E8" s="44">
        <f>(ABS(D8-D7))/D7</f>
        <v>3.7499999999999999E-3</v>
      </c>
      <c r="F8" s="28">
        <v>1006</v>
      </c>
      <c r="G8" s="28"/>
      <c r="H8" s="28">
        <v>1481</v>
      </c>
      <c r="I8" s="28"/>
      <c r="J8" s="28">
        <v>2013</v>
      </c>
      <c r="K8" s="28"/>
      <c r="L8" s="28">
        <v>2504</v>
      </c>
      <c r="M8" s="28"/>
      <c r="N8" s="28">
        <v>2999</v>
      </c>
      <c r="O8" s="28"/>
    </row>
    <row r="9" spans="1:15" x14ac:dyDescent="0.25">
      <c r="A9" s="28">
        <v>2</v>
      </c>
      <c r="B9" s="28">
        <v>620</v>
      </c>
      <c r="C9" s="44">
        <f t="shared" ref="C9:C27" si="0">(ABS(B9-B8))/100/100</f>
        <v>1.1999999999999999E-3</v>
      </c>
      <c r="D9" s="28">
        <v>789</v>
      </c>
      <c r="E9" s="44">
        <f t="shared" ref="E9:E27" si="1">(ABS(D9-D8))/D8</f>
        <v>1.7434620174346202E-2</v>
      </c>
      <c r="F9" s="28">
        <v>993</v>
      </c>
      <c r="G9" s="28"/>
      <c r="H9" s="28">
        <v>1525</v>
      </c>
      <c r="I9" s="28"/>
      <c r="J9" s="28">
        <v>2015</v>
      </c>
      <c r="K9" s="28"/>
      <c r="L9" s="28">
        <v>2528</v>
      </c>
      <c r="M9" s="28"/>
      <c r="N9" s="28">
        <v>3000</v>
      </c>
      <c r="O9" s="28"/>
    </row>
    <row r="10" spans="1:15" x14ac:dyDescent="0.25">
      <c r="A10" s="28">
        <v>3</v>
      </c>
      <c r="B10" s="28">
        <v>599</v>
      </c>
      <c r="C10" s="44">
        <f t="shared" si="0"/>
        <v>2.0999999999999999E-3</v>
      </c>
      <c r="D10" s="28">
        <v>806</v>
      </c>
      <c r="E10" s="44">
        <f t="shared" si="1"/>
        <v>2.1546261089987327E-2</v>
      </c>
      <c r="F10" s="28">
        <v>994</v>
      </c>
      <c r="G10" s="28"/>
      <c r="H10" s="28">
        <v>1499</v>
      </c>
      <c r="I10" s="28"/>
      <c r="J10" s="28">
        <v>2015</v>
      </c>
      <c r="K10" s="28"/>
      <c r="L10" s="28">
        <v>2503</v>
      </c>
      <c r="M10" s="28"/>
      <c r="N10" s="28">
        <v>3008</v>
      </c>
      <c r="O10" s="28"/>
    </row>
    <row r="11" spans="1:15" x14ac:dyDescent="0.25">
      <c r="A11" s="28">
        <v>4</v>
      </c>
      <c r="B11" s="28">
        <v>584</v>
      </c>
      <c r="C11" s="44">
        <f t="shared" si="0"/>
        <v>1.5E-3</v>
      </c>
      <c r="D11" s="28">
        <v>812</v>
      </c>
      <c r="E11" s="44">
        <f t="shared" si="1"/>
        <v>7.4441687344913151E-3</v>
      </c>
      <c r="F11" s="28">
        <v>997</v>
      </c>
      <c r="G11" s="28"/>
      <c r="H11" s="28">
        <v>1506</v>
      </c>
      <c r="I11" s="28"/>
      <c r="J11" s="28">
        <v>2001</v>
      </c>
      <c r="K11" s="28"/>
      <c r="L11" s="28">
        <v>2472</v>
      </c>
      <c r="M11" s="28"/>
      <c r="N11" s="28">
        <v>2996</v>
      </c>
      <c r="O11" s="28"/>
    </row>
    <row r="12" spans="1:15" x14ac:dyDescent="0.25">
      <c r="A12" s="28">
        <v>5</v>
      </c>
      <c r="B12" s="28">
        <v>570</v>
      </c>
      <c r="C12" s="44">
        <f t="shared" si="0"/>
        <v>1.4000000000000002E-3</v>
      </c>
      <c r="D12" s="28">
        <v>792</v>
      </c>
      <c r="E12" s="44">
        <f t="shared" si="1"/>
        <v>2.4630541871921183E-2</v>
      </c>
      <c r="F12" s="28">
        <v>1001</v>
      </c>
      <c r="G12" s="28"/>
      <c r="H12" s="28">
        <v>1493</v>
      </c>
      <c r="I12" s="28"/>
      <c r="J12" s="28">
        <v>2026</v>
      </c>
      <c r="K12" s="28"/>
      <c r="L12" s="28">
        <v>2512</v>
      </c>
      <c r="M12" s="28"/>
      <c r="N12" s="28">
        <v>3013</v>
      </c>
      <c r="O12" s="28"/>
    </row>
    <row r="13" spans="1:15" x14ac:dyDescent="0.25">
      <c r="A13" s="28">
        <v>6</v>
      </c>
      <c r="B13" s="28">
        <v>625</v>
      </c>
      <c r="C13" s="44">
        <f t="shared" si="0"/>
        <v>5.5000000000000005E-3</v>
      </c>
      <c r="D13" s="28">
        <v>794</v>
      </c>
      <c r="E13" s="44">
        <f t="shared" si="1"/>
        <v>2.5252525252525255E-3</v>
      </c>
      <c r="F13" s="28">
        <v>1017</v>
      </c>
      <c r="G13" s="28"/>
      <c r="H13" s="28">
        <v>1513</v>
      </c>
      <c r="I13" s="28"/>
      <c r="J13" s="28">
        <v>2017</v>
      </c>
      <c r="K13" s="28"/>
      <c r="L13" s="28">
        <v>2493</v>
      </c>
      <c r="M13" s="28"/>
      <c r="N13" s="28">
        <v>3003</v>
      </c>
      <c r="O13" s="28"/>
    </row>
    <row r="14" spans="1:15" x14ac:dyDescent="0.25">
      <c r="A14" s="28">
        <v>7</v>
      </c>
      <c r="B14" s="28">
        <v>605</v>
      </c>
      <c r="C14" s="44">
        <f t="shared" si="0"/>
        <v>2E-3</v>
      </c>
      <c r="D14" s="28">
        <v>813</v>
      </c>
      <c r="E14" s="44">
        <f t="shared" si="1"/>
        <v>2.3929471032745592E-2</v>
      </c>
      <c r="F14" s="28">
        <v>1003</v>
      </c>
      <c r="G14" s="28"/>
      <c r="H14" s="28">
        <v>1504</v>
      </c>
      <c r="I14" s="28"/>
      <c r="J14" s="28">
        <v>2010</v>
      </c>
      <c r="K14" s="28"/>
      <c r="L14" s="28">
        <v>2509</v>
      </c>
      <c r="M14" s="28"/>
      <c r="N14" s="28">
        <v>2996</v>
      </c>
      <c r="O14" s="28"/>
    </row>
    <row r="15" spans="1:15" x14ac:dyDescent="0.25">
      <c r="A15" s="28">
        <v>8</v>
      </c>
      <c r="B15" s="28">
        <v>611</v>
      </c>
      <c r="C15" s="44">
        <f t="shared" si="0"/>
        <v>5.9999999999999995E-4</v>
      </c>
      <c r="D15" s="28">
        <v>796</v>
      </c>
      <c r="E15" s="44">
        <f t="shared" si="1"/>
        <v>2.0910209102091022E-2</v>
      </c>
      <c r="F15" s="28">
        <v>1014</v>
      </c>
      <c r="G15" s="28"/>
      <c r="H15" s="28">
        <v>1516</v>
      </c>
      <c r="I15" s="28"/>
      <c r="J15" s="28">
        <v>1997</v>
      </c>
      <c r="K15" s="28"/>
      <c r="L15" s="28">
        <v>2503</v>
      </c>
      <c r="M15" s="28"/>
      <c r="N15" s="28">
        <v>3003</v>
      </c>
      <c r="O15" s="28"/>
    </row>
    <row r="16" spans="1:15" x14ac:dyDescent="0.25">
      <c r="A16" s="28">
        <v>9</v>
      </c>
      <c r="B16" s="28">
        <v>616</v>
      </c>
      <c r="C16" s="44">
        <f t="shared" si="0"/>
        <v>5.0000000000000001E-4</v>
      </c>
      <c r="D16" s="28">
        <v>803</v>
      </c>
      <c r="E16" s="44">
        <f t="shared" si="1"/>
        <v>8.7939698492462311E-3</v>
      </c>
      <c r="F16" s="28">
        <v>999</v>
      </c>
      <c r="G16" s="28"/>
      <c r="H16" s="28">
        <v>1508</v>
      </c>
      <c r="I16" s="28"/>
      <c r="J16" s="28">
        <v>1993</v>
      </c>
      <c r="K16" s="28"/>
      <c r="L16" s="28">
        <v>2489</v>
      </c>
      <c r="M16" s="28"/>
      <c r="N16" s="28">
        <v>3012</v>
      </c>
      <c r="O16" s="28"/>
    </row>
    <row r="17" spans="1:15" x14ac:dyDescent="0.25">
      <c r="A17" s="28">
        <v>10</v>
      </c>
      <c r="B17" s="28">
        <v>603</v>
      </c>
      <c r="C17" s="44">
        <f t="shared" si="0"/>
        <v>1.2999999999999999E-3</v>
      </c>
      <c r="D17" s="28">
        <v>790</v>
      </c>
      <c r="E17" s="44">
        <f t="shared" si="1"/>
        <v>1.61892901618929E-2</v>
      </c>
      <c r="F17" s="28">
        <v>991</v>
      </c>
      <c r="G17" s="28"/>
      <c r="H17" s="28">
        <v>1506</v>
      </c>
      <c r="I17" s="28"/>
      <c r="J17" s="28">
        <v>2005</v>
      </c>
      <c r="K17" s="28"/>
      <c r="L17" s="28">
        <v>2488</v>
      </c>
      <c r="M17" s="28"/>
      <c r="N17" s="28">
        <v>2982</v>
      </c>
      <c r="O17" s="28"/>
    </row>
    <row r="18" spans="1:15" x14ac:dyDescent="0.25">
      <c r="A18" s="28">
        <v>11</v>
      </c>
      <c r="B18" s="28">
        <v>616</v>
      </c>
      <c r="C18" s="44">
        <f t="shared" si="0"/>
        <v>1.2999999999999999E-3</v>
      </c>
      <c r="D18" s="28">
        <v>819</v>
      </c>
      <c r="E18" s="44">
        <f t="shared" si="1"/>
        <v>3.6708860759493672E-2</v>
      </c>
      <c r="F18" s="28">
        <v>1015</v>
      </c>
      <c r="G18" s="28"/>
      <c r="H18" s="28">
        <v>1517</v>
      </c>
      <c r="I18" s="28"/>
      <c r="J18" s="28">
        <v>2015</v>
      </c>
      <c r="K18" s="28"/>
      <c r="L18" s="28">
        <v>2511</v>
      </c>
      <c r="M18" s="28"/>
      <c r="N18" s="28">
        <v>3005</v>
      </c>
      <c r="O18" s="28"/>
    </row>
    <row r="19" spans="1:15" x14ac:dyDescent="0.25">
      <c r="A19" s="28">
        <v>12</v>
      </c>
      <c r="B19" s="28">
        <v>594</v>
      </c>
      <c r="C19" s="44">
        <f t="shared" si="0"/>
        <v>2.2000000000000001E-3</v>
      </c>
      <c r="D19" s="28">
        <v>796</v>
      </c>
      <c r="E19" s="44">
        <f t="shared" si="1"/>
        <v>2.8083028083028084E-2</v>
      </c>
      <c r="F19" s="28">
        <v>995</v>
      </c>
      <c r="G19" s="28"/>
      <c r="H19" s="28">
        <v>1514</v>
      </c>
      <c r="I19" s="28"/>
      <c r="J19" s="28">
        <v>1995</v>
      </c>
      <c r="K19" s="28"/>
      <c r="L19" s="28">
        <v>2524</v>
      </c>
      <c r="M19" s="28"/>
      <c r="N19" s="28">
        <v>3007</v>
      </c>
      <c r="O19" s="28"/>
    </row>
    <row r="20" spans="1:15" x14ac:dyDescent="0.25">
      <c r="A20" s="28">
        <v>13</v>
      </c>
      <c r="B20" s="28">
        <v>604</v>
      </c>
      <c r="C20" s="44">
        <f t="shared" si="0"/>
        <v>1E-3</v>
      </c>
      <c r="D20" s="28">
        <v>805</v>
      </c>
      <c r="E20" s="44">
        <f t="shared" si="1"/>
        <v>1.1306532663316583E-2</v>
      </c>
      <c r="F20" s="28">
        <v>1001</v>
      </c>
      <c r="G20" s="28"/>
      <c r="H20" s="28">
        <v>1523</v>
      </c>
      <c r="I20" s="28"/>
      <c r="J20" s="28">
        <v>2007</v>
      </c>
      <c r="K20" s="28"/>
      <c r="L20" s="28">
        <v>2498</v>
      </c>
      <c r="M20" s="28"/>
      <c r="N20" s="28">
        <v>2994</v>
      </c>
      <c r="O20" s="28"/>
    </row>
    <row r="21" spans="1:15" x14ac:dyDescent="0.25">
      <c r="A21" s="28">
        <v>14</v>
      </c>
      <c r="B21" s="28">
        <v>603</v>
      </c>
      <c r="C21" s="44">
        <f t="shared" si="0"/>
        <v>1E-4</v>
      </c>
      <c r="D21" s="28">
        <v>803</v>
      </c>
      <c r="E21" s="44">
        <f t="shared" si="1"/>
        <v>2.4844720496894411E-3</v>
      </c>
      <c r="F21" s="28">
        <v>997</v>
      </c>
      <c r="G21" s="28"/>
      <c r="H21" s="28">
        <v>1496</v>
      </c>
      <c r="I21" s="28"/>
      <c r="J21" s="28">
        <v>1989</v>
      </c>
      <c r="K21" s="28"/>
      <c r="L21" s="28">
        <v>2487</v>
      </c>
      <c r="M21" s="28"/>
      <c r="N21" s="28">
        <v>2993</v>
      </c>
      <c r="O21" s="28"/>
    </row>
    <row r="22" spans="1:15" x14ac:dyDescent="0.25">
      <c r="A22" s="28">
        <v>15</v>
      </c>
      <c r="B22" s="28">
        <v>624</v>
      </c>
      <c r="C22" s="44">
        <f t="shared" si="0"/>
        <v>2.0999999999999999E-3</v>
      </c>
      <c r="D22" s="28">
        <v>826</v>
      </c>
      <c r="E22" s="44">
        <f t="shared" si="1"/>
        <v>2.8642590286425903E-2</v>
      </c>
      <c r="F22" s="28">
        <v>1000</v>
      </c>
      <c r="G22" s="28"/>
      <c r="H22" s="28">
        <v>1490</v>
      </c>
      <c r="I22" s="28"/>
      <c r="J22" s="28">
        <v>1975</v>
      </c>
      <c r="K22" s="28"/>
      <c r="L22" s="28">
        <v>2521</v>
      </c>
      <c r="M22" s="28"/>
      <c r="N22" s="28">
        <v>3015</v>
      </c>
      <c r="O22" s="28"/>
    </row>
    <row r="23" spans="1:15" x14ac:dyDescent="0.25">
      <c r="A23" s="28">
        <v>16</v>
      </c>
      <c r="B23" s="28">
        <v>589</v>
      </c>
      <c r="C23" s="44">
        <f t="shared" si="0"/>
        <v>3.4999999999999996E-3</v>
      </c>
      <c r="D23" s="28">
        <v>827</v>
      </c>
      <c r="E23" s="44">
        <f t="shared" si="1"/>
        <v>1.2106537530266344E-3</v>
      </c>
      <c r="F23" s="28">
        <v>998</v>
      </c>
      <c r="G23" s="28"/>
      <c r="H23" s="28">
        <v>1510</v>
      </c>
      <c r="I23" s="28"/>
      <c r="J23" s="28">
        <v>1991</v>
      </c>
      <c r="K23" s="28"/>
      <c r="L23" s="28">
        <v>2510</v>
      </c>
      <c r="M23" s="28"/>
      <c r="N23" s="28">
        <v>3006</v>
      </c>
      <c r="O23" s="28"/>
    </row>
    <row r="24" spans="1:15" x14ac:dyDescent="0.25">
      <c r="A24" s="28">
        <v>17</v>
      </c>
      <c r="B24" s="28">
        <v>582</v>
      </c>
      <c r="C24" s="44">
        <f t="shared" si="0"/>
        <v>7.000000000000001E-4</v>
      </c>
      <c r="D24" s="28">
        <v>810</v>
      </c>
      <c r="E24" s="44">
        <f t="shared" si="1"/>
        <v>2.0556227327690448E-2</v>
      </c>
      <c r="F24" s="28">
        <v>1008</v>
      </c>
      <c r="G24" s="28"/>
      <c r="H24" s="28">
        <v>1504</v>
      </c>
      <c r="I24" s="28"/>
      <c r="J24" s="28">
        <v>2002</v>
      </c>
      <c r="K24" s="28"/>
      <c r="L24" s="28">
        <v>2491</v>
      </c>
      <c r="M24" s="28"/>
      <c r="N24" s="28">
        <v>2975</v>
      </c>
      <c r="O24" s="28"/>
    </row>
    <row r="25" spans="1:15" x14ac:dyDescent="0.25">
      <c r="A25" s="28">
        <v>18</v>
      </c>
      <c r="B25" s="28">
        <v>628</v>
      </c>
      <c r="C25" s="44">
        <f t="shared" si="0"/>
        <v>4.5999999999999999E-3</v>
      </c>
      <c r="D25" s="28">
        <v>793</v>
      </c>
      <c r="E25" s="44">
        <f t="shared" si="1"/>
        <v>2.0987654320987655E-2</v>
      </c>
      <c r="F25" s="28">
        <v>1013</v>
      </c>
      <c r="G25" s="28"/>
      <c r="H25" s="28">
        <v>1505</v>
      </c>
      <c r="I25" s="28"/>
      <c r="J25" s="28">
        <v>2000</v>
      </c>
      <c r="K25" s="28"/>
      <c r="L25" s="28">
        <v>2496</v>
      </c>
      <c r="M25" s="28"/>
      <c r="N25" s="28">
        <v>2998</v>
      </c>
      <c r="O25" s="28"/>
    </row>
    <row r="26" spans="1:15" x14ac:dyDescent="0.25">
      <c r="A26" s="28">
        <v>19</v>
      </c>
      <c r="B26" s="28">
        <v>591</v>
      </c>
      <c r="C26" s="44">
        <f t="shared" si="0"/>
        <v>3.7000000000000002E-3</v>
      </c>
      <c r="D26" s="28">
        <v>802</v>
      </c>
      <c r="E26" s="44">
        <f t="shared" si="1"/>
        <v>1.1349306431273645E-2</v>
      </c>
      <c r="F26" s="28">
        <v>980</v>
      </c>
      <c r="G26" s="28"/>
      <c r="H26" s="28">
        <v>1495</v>
      </c>
      <c r="I26" s="28"/>
      <c r="J26" s="28">
        <v>2014</v>
      </c>
      <c r="K26" s="28"/>
      <c r="L26" s="28">
        <v>2501</v>
      </c>
      <c r="M26" s="28"/>
      <c r="N26" s="28">
        <v>3014</v>
      </c>
      <c r="O26" s="28"/>
    </row>
    <row r="27" spans="1:15" x14ac:dyDescent="0.25">
      <c r="A27" s="28">
        <v>20</v>
      </c>
      <c r="B27" s="28">
        <v>605</v>
      </c>
      <c r="C27" s="44">
        <f t="shared" si="0"/>
        <v>1.4000000000000002E-3</v>
      </c>
      <c r="D27" s="28">
        <v>799</v>
      </c>
      <c r="E27" s="44">
        <f t="shared" si="1"/>
        <v>3.740648379052369E-3</v>
      </c>
      <c r="F27" s="28">
        <v>995</v>
      </c>
      <c r="G27" s="28"/>
      <c r="H27" s="28">
        <v>1487</v>
      </c>
      <c r="I27" s="28"/>
      <c r="J27" s="28">
        <v>2018</v>
      </c>
      <c r="K27" s="28"/>
      <c r="L27" s="28">
        <v>2505</v>
      </c>
      <c r="M27" s="28"/>
      <c r="N27" s="28">
        <v>2987</v>
      </c>
      <c r="O27" s="28"/>
    </row>
    <row r="28" spans="1:15" x14ac:dyDescent="0.25">
      <c r="A28" s="36" t="s">
        <v>17</v>
      </c>
      <c r="B28" s="29">
        <f>AVERAGE(B8:B27)</f>
        <v>603.85</v>
      </c>
      <c r="C28" s="30"/>
      <c r="D28" s="29">
        <f>AVERAGE(D8:D27)</f>
        <v>803.9</v>
      </c>
      <c r="E28" s="30"/>
      <c r="F28" s="29">
        <f t="shared" ref="F28:O28" si="2">AVERAGE(F8:G27)</f>
        <v>1000.85</v>
      </c>
      <c r="G28" s="30"/>
      <c r="H28" s="29">
        <f t="shared" ref="H28:O28" si="3">AVERAGE(H8:I27)</f>
        <v>1504.6</v>
      </c>
      <c r="I28" s="30"/>
      <c r="J28" s="29">
        <f t="shared" ref="J28:O28" si="4">AVERAGE(J8:K27)</f>
        <v>2004.9</v>
      </c>
      <c r="K28" s="30"/>
      <c r="L28" s="29">
        <f t="shared" ref="L28:O28" si="5">AVERAGE(L8:M27)</f>
        <v>2502.25</v>
      </c>
      <c r="M28" s="30"/>
      <c r="N28" s="29">
        <f t="shared" ref="N28:O28" si="6">AVERAGE(N8:O27)</f>
        <v>3000.3</v>
      </c>
      <c r="O28" s="30"/>
    </row>
    <row r="29" spans="1:15" x14ac:dyDescent="0.25">
      <c r="A29" s="36" t="s">
        <v>14</v>
      </c>
      <c r="B29" s="29">
        <f>_xlfn.STDEV.S(B8:B27)</f>
        <v>15.540354937354143</v>
      </c>
      <c r="C29" s="30"/>
      <c r="D29" s="29">
        <f>_xlfn.STDEV.S(D8:D27)</f>
        <v>11.168093650640367</v>
      </c>
      <c r="E29" s="30"/>
      <c r="F29" s="29">
        <f t="shared" ref="F29:O29" si="7">_xlfn.STDEV.S(F8:G27)</f>
        <v>9.218259911147749</v>
      </c>
      <c r="G29" s="30"/>
      <c r="H29" s="29">
        <f t="shared" ref="H29:O29" si="8">_xlfn.STDEV.S(H8:I27)</f>
        <v>11.820588639719837</v>
      </c>
      <c r="I29" s="30"/>
      <c r="J29" s="29">
        <f t="shared" ref="J29:O29" si="9">_xlfn.STDEV.S(J8:K27)</f>
        <v>12.434671392183185</v>
      </c>
      <c r="K29" s="30"/>
      <c r="L29" s="29">
        <f t="shared" ref="L29:O29" si="10">_xlfn.STDEV.S(L8:M27)</f>
        <v>13.714667522880672</v>
      </c>
      <c r="M29" s="30"/>
      <c r="N29" s="29">
        <f t="shared" ref="N29:O29" si="11">_xlfn.STDEV.S(N8:O27)</f>
        <v>10.672640870838611</v>
      </c>
      <c r="O29" s="30"/>
    </row>
    <row r="30" spans="1:15" x14ac:dyDescent="0.25">
      <c r="A30" s="36" t="s">
        <v>15</v>
      </c>
      <c r="B30" s="29">
        <f>B29/SQRT(COUNT(B8:B27))</f>
        <v>3.474929003439835</v>
      </c>
      <c r="C30" s="30"/>
      <c r="D30" s="29">
        <f>D29/SQRT(COUNT(D8:D27))</f>
        <v>2.4972616581915648</v>
      </c>
      <c r="E30" s="30"/>
      <c r="F30" s="29">
        <f t="shared" ref="F30" si="12">F29/SQRT(COUNT(F8:G27))</f>
        <v>2.0612655795587536</v>
      </c>
      <c r="G30" s="30"/>
      <c r="H30" s="29">
        <f t="shared" ref="H30" si="13">H29/SQRT(COUNT(H8:I27))</f>
        <v>2.6431639732475323</v>
      </c>
      <c r="I30" s="30"/>
      <c r="J30" s="29">
        <f t="shared" ref="J30" si="14">J29/SQRT(COUNT(J8:K27))</f>
        <v>2.7804770510793548</v>
      </c>
      <c r="K30" s="30"/>
      <c r="L30" s="29">
        <f t="shared" ref="L30" si="15">L29/SQRT(COUNT(L8:M27))</f>
        <v>3.0666928869969836</v>
      </c>
      <c r="M30" s="30"/>
      <c r="N30" s="29">
        <f t="shared" ref="N30" si="16">N29/SQRT(COUNT(N8:O27))</f>
        <v>2.3864750486637685</v>
      </c>
      <c r="O30" s="30"/>
    </row>
    <row r="31" spans="1:15" x14ac:dyDescent="0.25">
      <c r="A31" s="36" t="s">
        <v>16</v>
      </c>
      <c r="B31" s="29">
        <f>B30/B28*100</f>
        <v>0.57546228424937229</v>
      </c>
      <c r="C31" s="30"/>
      <c r="D31" s="29">
        <f t="shared" ref="D31" si="17">D30/D28*100</f>
        <v>0.31064332108366277</v>
      </c>
      <c r="E31" s="30"/>
      <c r="F31" s="29">
        <f t="shared" ref="F31" si="18">F30/F28*100</f>
        <v>0.20595149918157099</v>
      </c>
      <c r="G31" s="30"/>
      <c r="H31" s="29">
        <f t="shared" ref="H31" si="19">H30/H28*100</f>
        <v>0.17567220345922721</v>
      </c>
      <c r="I31" s="30"/>
      <c r="J31" s="29">
        <f t="shared" ref="J31" si="20">J30/J28*100</f>
        <v>0.1386840765663801</v>
      </c>
      <c r="K31" s="30"/>
      <c r="L31" s="29">
        <f t="shared" ref="L31" si="21">L30/L28*100</f>
        <v>0.12255741380745264</v>
      </c>
      <c r="M31" s="30"/>
      <c r="N31" s="29">
        <f t="shared" ref="N31" si="22">N30/N28*100</f>
        <v>7.9541214167375543E-2</v>
      </c>
      <c r="O31" s="30"/>
    </row>
    <row r="32" spans="1:15" x14ac:dyDescent="0.25">
      <c r="A32" s="37" t="s">
        <v>20</v>
      </c>
      <c r="B32" s="29" t="s">
        <v>50</v>
      </c>
      <c r="C32" s="30"/>
      <c r="D32" s="29" t="s">
        <v>51</v>
      </c>
      <c r="E32" s="30"/>
      <c r="F32" s="29" t="s">
        <v>52</v>
      </c>
      <c r="G32" s="30"/>
      <c r="H32" s="29" t="s">
        <v>53</v>
      </c>
      <c r="I32" s="30"/>
      <c r="J32" s="29" t="s">
        <v>54</v>
      </c>
      <c r="K32" s="30"/>
      <c r="L32" s="29" t="s">
        <v>55</v>
      </c>
      <c r="M32" s="30"/>
      <c r="N32" s="29" t="s">
        <v>56</v>
      </c>
      <c r="O32" s="30"/>
    </row>
    <row r="33" spans="1:15" x14ac:dyDescent="0.25">
      <c r="A33" s="38" t="s">
        <v>62</v>
      </c>
      <c r="B33" s="39">
        <f>ABS(AVERAGE(B8:B27)-B7)/B7</f>
        <v>6.4166666666667042E-3</v>
      </c>
      <c r="C33" s="40"/>
      <c r="D33" s="39">
        <f>ABS(AVERAGE(D8:D27)-D7)/D7</f>
        <v>4.8749999999999714E-3</v>
      </c>
      <c r="E33" s="40"/>
      <c r="F33" s="39">
        <f>ABS(AVERAGE(F8:G27)-F7)/F7</f>
        <v>8.5000000000002272E-4</v>
      </c>
      <c r="G33" s="40"/>
      <c r="H33" s="39">
        <f>ABS(AVERAGE(H8:I27)-H7)/H7</f>
        <v>3.066666666666606E-3</v>
      </c>
      <c r="I33" s="40"/>
      <c r="J33" s="39">
        <f>ABS(AVERAGE(J8:K27)-J7)/J7</f>
        <v>2.4500000000000455E-3</v>
      </c>
      <c r="K33" s="40"/>
      <c r="L33" s="39">
        <f>ABS(AVERAGE(L8:M27)-L7)/L7</f>
        <v>8.9999999999999998E-4</v>
      </c>
      <c r="M33" s="40"/>
      <c r="N33" s="39">
        <f>ABS(AVERAGE(N8:O27)-N7)/N7</f>
        <v>1.0000000000006064E-4</v>
      </c>
      <c r="O33" s="40"/>
    </row>
    <row r="34" spans="1:15" x14ac:dyDescent="0.25">
      <c r="A34" s="38" t="s">
        <v>63</v>
      </c>
      <c r="B34" s="39">
        <f>_xlfn.STDEV.S(B8:B27)/AVERAGE(B8:B27)</f>
        <v>2.5735455721378062E-2</v>
      </c>
      <c r="C34" s="40"/>
      <c r="D34" s="39">
        <f>_xlfn.STDEV.S(D8:D27)/AVERAGE(D8:D27)</f>
        <v>1.3892391653987271E-2</v>
      </c>
      <c r="E34" s="40"/>
      <c r="F34" s="39">
        <f>_xlfn.STDEV.S(F8:G27)/AVERAGE(F8:G27)</f>
        <v>9.2104310447597027E-3</v>
      </c>
      <c r="G34" s="40"/>
      <c r="H34" s="39">
        <f>_xlfn.STDEV.S(H8:I27)/AVERAGE(H8:I27)</f>
        <v>7.8562997738401159E-3</v>
      </c>
      <c r="I34" s="40"/>
      <c r="J34" s="39">
        <f>_xlfn.STDEV.S(J8:K27)/AVERAGE(J8:K27)</f>
        <v>6.2021404519842314E-3</v>
      </c>
      <c r="K34" s="40"/>
      <c r="L34" s="39">
        <f>_xlfn.STDEV.S(L8:M27)/AVERAGE(L8:M27)</f>
        <v>5.4809341684007081E-3</v>
      </c>
      <c r="M34" s="40"/>
      <c r="N34" s="39">
        <f>_xlfn.STDEV.S(N8:O27)/AVERAGE(N8:O27)</f>
        <v>3.5571912378224214E-3</v>
      </c>
      <c r="O34" s="40"/>
    </row>
    <row r="35" spans="1:15" x14ac:dyDescent="0.25">
      <c r="A35" s="38" t="s">
        <v>64</v>
      </c>
      <c r="B35" s="41">
        <f>ABS(AVERAGE(B8:B27)-B7)</f>
        <v>3.8500000000000227</v>
      </c>
      <c r="C35" s="41"/>
      <c r="D35" s="41">
        <f>ABS(AVERAGE(D8:D27)-D7)</f>
        <v>3.8999999999999773</v>
      </c>
      <c r="E35" s="41"/>
      <c r="F35" s="41">
        <f>ABS(AVERAGE(F8:G27)-F7)</f>
        <v>0.85000000000002274</v>
      </c>
      <c r="G35" s="41"/>
      <c r="H35" s="41">
        <f>ABS(AVERAGE(H8:I27)-H7)</f>
        <v>4.5999999999999091</v>
      </c>
      <c r="I35" s="41"/>
      <c r="J35" s="41">
        <f>ABS(AVERAGE(J8:K27)-J7)</f>
        <v>4.9000000000000909</v>
      </c>
      <c r="K35" s="41"/>
      <c r="L35" s="42">
        <f>ABS(AVERAGE(L8:M27)-L7)</f>
        <v>2.25</v>
      </c>
      <c r="M35" s="43"/>
      <c r="N35" s="41">
        <f>ABS(AVERAGE(N8:O27)-N7)</f>
        <v>0.3000000000001819</v>
      </c>
      <c r="O35" s="41"/>
    </row>
    <row r="36" spans="1:15" x14ac:dyDescent="0.25">
      <c r="A36" s="38" t="s">
        <v>65</v>
      </c>
      <c r="B36" s="42">
        <f>_xlfn.STDEV.S(B8:B27)</f>
        <v>15.540354937354143</v>
      </c>
      <c r="C36" s="43"/>
      <c r="D36" s="42">
        <f>_xlfn.STDEV.S(D8:D27)</f>
        <v>11.168093650640367</v>
      </c>
      <c r="E36" s="43"/>
      <c r="F36" s="42">
        <f>_xlfn.STDEV.S(F8:G27)</f>
        <v>9.218259911147749</v>
      </c>
      <c r="G36" s="43"/>
      <c r="H36" s="42">
        <f>_xlfn.STDEV.S(H8:I27)</f>
        <v>11.820588639719837</v>
      </c>
      <c r="I36" s="43"/>
      <c r="J36" s="42">
        <f>_xlfn.STDEV.S(J8:K27)</f>
        <v>12.434671392183185</v>
      </c>
      <c r="K36" s="43"/>
      <c r="L36" s="42">
        <f>_xlfn.STDEV.S(L8:M27)</f>
        <v>13.714667522880672</v>
      </c>
      <c r="M36" s="43"/>
      <c r="N36" s="42">
        <f>_xlfn.STDEV.S(N8:O27)</f>
        <v>10.672640870838611</v>
      </c>
      <c r="O36" s="43"/>
    </row>
    <row r="38" spans="1:15" x14ac:dyDescent="0.25">
      <c r="A38" s="1" t="s">
        <v>49</v>
      </c>
      <c r="B38" s="12">
        <v>3500</v>
      </c>
      <c r="C38" s="12"/>
      <c r="D38" s="12">
        <v>4000</v>
      </c>
      <c r="E38" s="12"/>
      <c r="F38" s="20">
        <v>4500</v>
      </c>
      <c r="G38" s="20"/>
      <c r="H38" s="20">
        <v>5000</v>
      </c>
      <c r="I38" s="20"/>
      <c r="J38" s="21"/>
      <c r="K38" s="21"/>
      <c r="L38" s="22"/>
      <c r="M38" s="22"/>
    </row>
    <row r="39" spans="1:15" x14ac:dyDescent="0.25">
      <c r="A39" s="2">
        <v>1</v>
      </c>
      <c r="B39" s="13">
        <v>3516</v>
      </c>
      <c r="C39" s="13"/>
      <c r="D39" s="13">
        <v>4012</v>
      </c>
      <c r="E39" s="13"/>
      <c r="F39" s="13">
        <v>4574</v>
      </c>
      <c r="G39" s="13"/>
      <c r="H39" s="13">
        <v>4997</v>
      </c>
      <c r="I39" s="13"/>
      <c r="J39" s="21"/>
      <c r="K39" s="21"/>
      <c r="L39" s="24"/>
      <c r="M39" s="24"/>
    </row>
    <row r="40" spans="1:15" x14ac:dyDescent="0.25">
      <c r="A40" s="2">
        <v>2</v>
      </c>
      <c r="B40" s="13">
        <v>3513</v>
      </c>
      <c r="C40" s="13"/>
      <c r="D40" s="13">
        <v>4008</v>
      </c>
      <c r="E40" s="13"/>
      <c r="F40" s="13">
        <v>4514</v>
      </c>
      <c r="G40" s="13"/>
      <c r="H40" s="13">
        <v>5001</v>
      </c>
      <c r="I40" s="13"/>
      <c r="J40" s="21"/>
      <c r="K40" s="21"/>
      <c r="L40" s="24"/>
      <c r="M40" s="24"/>
    </row>
    <row r="41" spans="1:15" x14ac:dyDescent="0.25">
      <c r="A41" s="2">
        <v>3</v>
      </c>
      <c r="B41" s="13">
        <v>3484</v>
      </c>
      <c r="C41" s="13"/>
      <c r="D41" s="13">
        <v>3973</v>
      </c>
      <c r="E41" s="13"/>
      <c r="F41" s="13">
        <v>4594</v>
      </c>
      <c r="G41" s="13"/>
      <c r="H41" s="13">
        <v>4997</v>
      </c>
      <c r="I41" s="13"/>
      <c r="J41" s="21"/>
      <c r="K41" s="21"/>
      <c r="L41" s="24"/>
      <c r="M41" s="24"/>
    </row>
    <row r="42" spans="1:15" x14ac:dyDescent="0.25">
      <c r="A42" s="2">
        <v>4</v>
      </c>
      <c r="B42" s="13">
        <v>3496</v>
      </c>
      <c r="C42" s="13"/>
      <c r="D42" s="13">
        <v>3996</v>
      </c>
      <c r="E42" s="13"/>
      <c r="F42" s="13">
        <v>4501</v>
      </c>
      <c r="G42" s="13"/>
      <c r="H42" s="13">
        <v>4999</v>
      </c>
      <c r="I42" s="13"/>
      <c r="J42" s="21"/>
      <c r="K42" s="21"/>
      <c r="L42" s="24"/>
      <c r="M42" s="24"/>
    </row>
    <row r="43" spans="1:15" x14ac:dyDescent="0.25">
      <c r="A43" s="2">
        <v>5</v>
      </c>
      <c r="B43" s="13">
        <v>3501</v>
      </c>
      <c r="C43" s="13"/>
      <c r="D43" s="13">
        <v>4001</v>
      </c>
      <c r="E43" s="13"/>
      <c r="F43" s="13">
        <v>4515</v>
      </c>
      <c r="G43" s="13"/>
      <c r="H43" s="13">
        <v>5002</v>
      </c>
      <c r="I43" s="13"/>
      <c r="J43" s="21"/>
      <c r="K43" s="21"/>
      <c r="L43" s="24"/>
      <c r="M43" s="24"/>
    </row>
    <row r="44" spans="1:15" x14ac:dyDescent="0.25">
      <c r="A44" s="2">
        <v>6</v>
      </c>
      <c r="B44" s="13">
        <v>3513</v>
      </c>
      <c r="C44" s="13"/>
      <c r="D44" s="13">
        <v>4013</v>
      </c>
      <c r="E44" s="13"/>
      <c r="F44" s="13">
        <v>4517</v>
      </c>
      <c r="G44" s="13"/>
      <c r="H44" s="13">
        <v>5014</v>
      </c>
      <c r="I44" s="13"/>
      <c r="J44" s="21"/>
      <c r="K44" s="21"/>
      <c r="L44" s="24"/>
      <c r="M44" s="24"/>
    </row>
    <row r="45" spans="1:15" x14ac:dyDescent="0.25">
      <c r="A45" s="2">
        <v>7</v>
      </c>
      <c r="B45" s="13">
        <v>3495</v>
      </c>
      <c r="C45" s="13"/>
      <c r="D45" s="13">
        <v>4004</v>
      </c>
      <c r="E45" s="13"/>
      <c r="F45" s="13">
        <v>4593</v>
      </c>
      <c r="G45" s="13"/>
      <c r="H45" s="13">
        <v>4987</v>
      </c>
      <c r="I45" s="13"/>
      <c r="J45" s="21"/>
      <c r="K45" s="21"/>
      <c r="L45" s="24"/>
      <c r="M45" s="24"/>
    </row>
    <row r="46" spans="1:15" x14ac:dyDescent="0.25">
      <c r="A46" s="2">
        <v>8</v>
      </c>
      <c r="B46" s="13">
        <v>3487</v>
      </c>
      <c r="C46" s="13"/>
      <c r="D46" s="13">
        <v>4009</v>
      </c>
      <c r="E46" s="13"/>
      <c r="F46" s="13">
        <v>4597</v>
      </c>
      <c r="G46" s="13"/>
      <c r="H46" s="13">
        <v>4996</v>
      </c>
      <c r="I46" s="13"/>
      <c r="J46" s="21"/>
      <c r="K46" s="21"/>
      <c r="L46" s="24"/>
      <c r="M46" s="24"/>
    </row>
    <row r="47" spans="1:15" x14ac:dyDescent="0.25">
      <c r="A47" s="2">
        <v>9</v>
      </c>
      <c r="B47" s="13">
        <v>3509</v>
      </c>
      <c r="C47" s="13"/>
      <c r="D47" s="13">
        <v>4006</v>
      </c>
      <c r="E47" s="13"/>
      <c r="F47" s="13">
        <v>4526</v>
      </c>
      <c r="G47" s="13"/>
      <c r="H47" s="13">
        <v>5010</v>
      </c>
      <c r="I47" s="13"/>
      <c r="J47" s="21"/>
      <c r="K47" s="21"/>
      <c r="L47" s="24"/>
      <c r="M47" s="24"/>
    </row>
    <row r="48" spans="1:15" x14ac:dyDescent="0.25">
      <c r="A48" s="2">
        <v>10</v>
      </c>
      <c r="B48" s="13">
        <v>3511</v>
      </c>
      <c r="C48" s="13"/>
      <c r="D48" s="13">
        <v>3989</v>
      </c>
      <c r="E48" s="13"/>
      <c r="F48" s="13">
        <v>4504</v>
      </c>
      <c r="G48" s="13"/>
      <c r="H48" s="13">
        <v>5002</v>
      </c>
      <c r="I48" s="13"/>
      <c r="J48" s="21"/>
      <c r="K48" s="21"/>
      <c r="L48" s="24"/>
      <c r="M48" s="24"/>
    </row>
    <row r="49" spans="1:17" x14ac:dyDescent="0.25">
      <c r="A49" s="2">
        <v>11</v>
      </c>
      <c r="B49" s="13">
        <v>3490</v>
      </c>
      <c r="C49" s="13"/>
      <c r="D49" s="13">
        <v>3988</v>
      </c>
      <c r="E49" s="13"/>
      <c r="F49" s="13">
        <v>4500</v>
      </c>
      <c r="G49" s="13"/>
      <c r="H49" s="13">
        <v>4990</v>
      </c>
      <c r="I49" s="13"/>
      <c r="J49" s="21"/>
      <c r="K49" s="21"/>
      <c r="L49" s="24"/>
      <c r="M49" s="24"/>
    </row>
    <row r="50" spans="1:17" x14ac:dyDescent="0.25">
      <c r="A50" s="2">
        <v>12</v>
      </c>
      <c r="B50" s="13">
        <v>3494</v>
      </c>
      <c r="C50" s="13"/>
      <c r="D50" s="13">
        <v>3990</v>
      </c>
      <c r="E50" s="13"/>
      <c r="F50" s="13">
        <v>4490</v>
      </c>
      <c r="G50" s="13"/>
      <c r="H50" s="13">
        <v>5009</v>
      </c>
      <c r="I50" s="13"/>
      <c r="J50" s="21"/>
      <c r="K50" s="21"/>
      <c r="L50" s="24"/>
      <c r="M50" s="24"/>
    </row>
    <row r="51" spans="1:17" x14ac:dyDescent="0.25">
      <c r="A51" s="2">
        <v>13</v>
      </c>
      <c r="B51" s="13">
        <v>3497</v>
      </c>
      <c r="C51" s="13"/>
      <c r="D51" s="13">
        <v>3992</v>
      </c>
      <c r="E51" s="13"/>
      <c r="F51" s="13">
        <v>4505</v>
      </c>
      <c r="G51" s="13"/>
      <c r="H51" s="13">
        <v>5005</v>
      </c>
      <c r="I51" s="13"/>
      <c r="J51" s="21"/>
      <c r="K51" s="21"/>
      <c r="L51" s="24"/>
      <c r="M51" s="24"/>
    </row>
    <row r="52" spans="1:17" x14ac:dyDescent="0.25">
      <c r="A52" s="2">
        <v>14</v>
      </c>
      <c r="B52" s="13">
        <v>3504</v>
      </c>
      <c r="C52" s="13"/>
      <c r="D52" s="13">
        <v>3997</v>
      </c>
      <c r="E52" s="13"/>
      <c r="F52" s="13">
        <v>4522</v>
      </c>
      <c r="G52" s="13"/>
      <c r="H52" s="13">
        <v>5003</v>
      </c>
      <c r="I52" s="13"/>
      <c r="J52" s="21"/>
      <c r="K52" s="21"/>
      <c r="L52" s="24"/>
      <c r="M52" s="24"/>
    </row>
    <row r="53" spans="1:17" x14ac:dyDescent="0.25">
      <c r="A53" s="2">
        <v>15</v>
      </c>
      <c r="B53" s="13">
        <v>3507</v>
      </c>
      <c r="C53" s="13"/>
      <c r="D53" s="13">
        <v>4008</v>
      </c>
      <c r="E53" s="13"/>
      <c r="F53" s="13">
        <v>4518</v>
      </c>
      <c r="G53" s="13"/>
      <c r="H53" s="13">
        <v>4998</v>
      </c>
      <c r="I53" s="13"/>
      <c r="J53" s="21"/>
      <c r="K53" s="21"/>
      <c r="L53" s="24"/>
      <c r="M53" s="24"/>
    </row>
    <row r="54" spans="1:17" x14ac:dyDescent="0.25">
      <c r="A54" s="2">
        <v>16</v>
      </c>
      <c r="B54" s="13">
        <v>3483</v>
      </c>
      <c r="C54" s="13"/>
      <c r="D54" s="13">
        <v>4004</v>
      </c>
      <c r="E54" s="13"/>
      <c r="F54" s="13">
        <v>4570</v>
      </c>
      <c r="G54" s="13"/>
      <c r="H54" s="13">
        <v>5010</v>
      </c>
      <c r="I54" s="13"/>
      <c r="J54" s="21"/>
      <c r="K54" s="21"/>
      <c r="L54" s="24"/>
      <c r="M54" s="24"/>
    </row>
    <row r="55" spans="1:17" x14ac:dyDescent="0.25">
      <c r="A55" s="2">
        <v>17</v>
      </c>
      <c r="B55" s="13">
        <v>3496</v>
      </c>
      <c r="C55" s="13"/>
      <c r="D55" s="13">
        <v>3992</v>
      </c>
      <c r="E55" s="13"/>
      <c r="F55" s="13">
        <v>4490</v>
      </c>
      <c r="G55" s="13"/>
      <c r="H55" s="13">
        <v>5001</v>
      </c>
      <c r="I55" s="13"/>
      <c r="J55" s="21"/>
      <c r="K55" s="21"/>
      <c r="L55" s="24"/>
      <c r="M55" s="24"/>
    </row>
    <row r="56" spans="1:17" x14ac:dyDescent="0.25">
      <c r="A56" s="2">
        <v>18</v>
      </c>
      <c r="B56" s="13">
        <v>3504</v>
      </c>
      <c r="C56" s="13"/>
      <c r="D56" s="13">
        <v>4016</v>
      </c>
      <c r="E56" s="13"/>
      <c r="F56" s="13">
        <v>4507</v>
      </c>
      <c r="G56" s="13"/>
      <c r="H56" s="13">
        <v>4998</v>
      </c>
      <c r="I56" s="13"/>
      <c r="J56" s="21"/>
      <c r="K56" s="21"/>
      <c r="L56" s="24"/>
      <c r="M56" s="24"/>
      <c r="Q56" s="23"/>
    </row>
    <row r="57" spans="1:17" x14ac:dyDescent="0.25">
      <c r="A57" s="2">
        <v>19</v>
      </c>
      <c r="B57" s="13">
        <v>3502</v>
      </c>
      <c r="C57" s="13"/>
      <c r="D57" s="13">
        <v>4000</v>
      </c>
      <c r="E57" s="13"/>
      <c r="F57" s="13">
        <v>4509</v>
      </c>
      <c r="G57" s="13"/>
      <c r="H57" s="13">
        <v>4995</v>
      </c>
      <c r="I57" s="13"/>
      <c r="J57" s="21"/>
      <c r="K57" s="21"/>
      <c r="L57" s="24"/>
      <c r="M57" s="24"/>
    </row>
    <row r="58" spans="1:17" x14ac:dyDescent="0.25">
      <c r="A58" s="2">
        <v>20</v>
      </c>
      <c r="B58" s="13">
        <v>3473</v>
      </c>
      <c r="C58" s="13"/>
      <c r="D58" s="13">
        <v>4005</v>
      </c>
      <c r="E58" s="13"/>
      <c r="F58" s="13">
        <v>4499</v>
      </c>
      <c r="G58" s="13"/>
      <c r="H58" s="13">
        <v>5001</v>
      </c>
      <c r="I58" s="13"/>
      <c r="J58" s="21"/>
      <c r="K58" s="21"/>
      <c r="L58" s="24"/>
      <c r="M58" s="24"/>
    </row>
    <row r="59" spans="1:17" x14ac:dyDescent="0.25">
      <c r="A59" s="3" t="s">
        <v>17</v>
      </c>
      <c r="B59" s="13">
        <f>AVERAGE(B39:C58)</f>
        <v>3498.75</v>
      </c>
      <c r="C59" s="13"/>
      <c r="D59" s="13">
        <f t="shared" ref="D59:I59" si="23">AVERAGE(D39:E58)</f>
        <v>4000.15</v>
      </c>
      <c r="E59" s="13"/>
      <c r="F59" s="13">
        <f t="shared" ref="F59:I59" si="24">AVERAGE(F39:G58)</f>
        <v>4527.25</v>
      </c>
      <c r="G59" s="13"/>
      <c r="H59" s="13">
        <f t="shared" ref="H59:I59" si="25">AVERAGE(H39:I58)</f>
        <v>5000.75</v>
      </c>
      <c r="I59" s="13"/>
      <c r="J59" s="21"/>
      <c r="K59" s="21"/>
      <c r="L59" s="24"/>
      <c r="M59" s="24"/>
    </row>
    <row r="60" spans="1:17" x14ac:dyDescent="0.25">
      <c r="A60" s="3" t="s">
        <v>14</v>
      </c>
      <c r="B60" s="13">
        <f>_xlfn.STDEV.S(B39:C58)</f>
        <v>11.461032377490902</v>
      </c>
      <c r="C60" s="13"/>
      <c r="D60" s="13">
        <f t="shared" ref="D60:I60" si="26">_xlfn.STDEV.S(D39:E58)</f>
        <v>10.559480649110892</v>
      </c>
      <c r="E60" s="13"/>
      <c r="F60" s="13">
        <f t="shared" ref="F60:I60" si="27">_xlfn.STDEV.S(F39:G58)</f>
        <v>36.263472995346305</v>
      </c>
      <c r="G60" s="13"/>
      <c r="H60" s="13">
        <f t="shared" ref="H60:I60" si="28">_xlfn.STDEV.S(H39:I58)</f>
        <v>6.6797021679586566</v>
      </c>
      <c r="I60" s="13"/>
      <c r="J60" s="21"/>
      <c r="K60" s="21"/>
      <c r="L60" s="24"/>
      <c r="M60" s="24"/>
    </row>
    <row r="61" spans="1:17" x14ac:dyDescent="0.25">
      <c r="A61" s="3" t="s">
        <v>15</v>
      </c>
      <c r="B61" s="13">
        <f>B60/SQRT(COUNT(B39:C58))</f>
        <v>2.5627647488395686</v>
      </c>
      <c r="C61" s="13"/>
      <c r="D61" s="13">
        <f t="shared" ref="D61" si="29">D60/SQRT(COUNT(D39:E58))</f>
        <v>2.3611716538505556</v>
      </c>
      <c r="E61" s="13"/>
      <c r="F61" s="13">
        <f t="shared" ref="F61" si="30">F60/SQRT(COUNT(F39:G58))</f>
        <v>8.1087590717822255</v>
      </c>
      <c r="G61" s="13"/>
      <c r="H61" s="13">
        <f t="shared" ref="H61" si="31">H60/SQRT(COUNT(H39:I58))</f>
        <v>1.4936268117008273</v>
      </c>
      <c r="I61" s="13"/>
      <c r="J61" s="21"/>
      <c r="K61" s="21"/>
      <c r="L61" s="24"/>
      <c r="M61" s="24"/>
    </row>
    <row r="62" spans="1:17" x14ac:dyDescent="0.25">
      <c r="A62" s="3" t="s">
        <v>16</v>
      </c>
      <c r="B62" s="13">
        <f>B61/B59*100</f>
        <v>7.3248009970405675E-2</v>
      </c>
      <c r="C62" s="13"/>
      <c r="D62" s="13">
        <f t="shared" ref="D62" si="32">D61/D59*100</f>
        <v>5.9027077830845237E-2</v>
      </c>
      <c r="E62" s="13"/>
      <c r="F62" s="13">
        <f t="shared" ref="F62" si="33">F61/F59*100</f>
        <v>0.17911003527046718</v>
      </c>
      <c r="G62" s="13"/>
      <c r="H62" s="13">
        <f t="shared" ref="H62" si="34">H61/H59*100</f>
        <v>2.9868056025612703E-2</v>
      </c>
      <c r="I62" s="13"/>
      <c r="J62" s="21"/>
      <c r="K62" s="21"/>
      <c r="L62" s="24"/>
      <c r="M62" s="24"/>
    </row>
    <row r="63" spans="1:17" x14ac:dyDescent="0.25">
      <c r="A63" s="17" t="s">
        <v>20</v>
      </c>
      <c r="B63" s="13" t="s">
        <v>57</v>
      </c>
      <c r="C63" s="13"/>
      <c r="D63" s="13" t="s">
        <v>58</v>
      </c>
      <c r="E63" s="13"/>
      <c r="F63" s="13" t="s">
        <v>59</v>
      </c>
      <c r="G63" s="13"/>
      <c r="H63" s="13" t="s">
        <v>60</v>
      </c>
      <c r="I63" s="13"/>
      <c r="J63" s="21"/>
      <c r="K63" s="21"/>
      <c r="L63" s="24"/>
      <c r="M63" s="24"/>
    </row>
    <row r="64" spans="1:17" x14ac:dyDescent="0.25">
      <c r="A64" s="18" t="s">
        <v>62</v>
      </c>
      <c r="B64" s="27">
        <f>ABS(AVERAGE(B39:C58)-B38)/B38</f>
        <v>3.5714285714285714E-4</v>
      </c>
      <c r="C64" s="27"/>
      <c r="D64" s="27">
        <f t="shared" ref="D64" si="35">ABS(AVERAGE(D39:E58)-D38)/D38</f>
        <v>3.7500000000022738E-5</v>
      </c>
      <c r="E64" s="27"/>
      <c r="F64" s="27">
        <f t="shared" ref="F64" si="36">ABS(AVERAGE(F39:G58)-F38)/F38</f>
        <v>6.0555555555555553E-3</v>
      </c>
      <c r="G64" s="27"/>
      <c r="H64" s="27">
        <f t="shared" ref="H64" si="37">ABS(AVERAGE(H39:I58)-H38)/H38</f>
        <v>1.4999999999999999E-4</v>
      </c>
      <c r="I64" s="27"/>
      <c r="J64" s="21"/>
      <c r="K64" s="21"/>
      <c r="L64" s="25"/>
      <c r="M64" s="25"/>
    </row>
    <row r="65" spans="1:15" x14ac:dyDescent="0.25">
      <c r="A65" s="18" t="s">
        <v>63</v>
      </c>
      <c r="B65" s="27">
        <f>_xlfn.STDEV.S(B39:C58)/AVERAGE(B39:C58)</f>
        <v>3.2757505902081892E-3</v>
      </c>
      <c r="C65" s="27"/>
      <c r="D65" s="27">
        <f t="shared" ref="D65" si="38">_xlfn.STDEV.S(D39:E58)/AVERAGE(D39:E58)</f>
        <v>2.6397711708588158E-3</v>
      </c>
      <c r="E65" s="27"/>
      <c r="F65" s="27">
        <f t="shared" ref="F65" si="39">_xlfn.STDEV.S(F39:G58)/AVERAGE(F39:G58)</f>
        <v>8.0100442863429901E-3</v>
      </c>
      <c r="G65" s="27"/>
      <c r="H65" s="27">
        <f t="shared" ref="H65" si="40">_xlfn.STDEV.S(H39:I58)/AVERAGE(H39:I58)</f>
        <v>1.3357400725808441E-3</v>
      </c>
      <c r="I65" s="27"/>
      <c r="J65" s="21"/>
      <c r="K65" s="21"/>
      <c r="L65" s="25"/>
      <c r="M65" s="25"/>
    </row>
    <row r="66" spans="1:15" x14ac:dyDescent="0.25">
      <c r="A66" s="18" t="s">
        <v>64</v>
      </c>
      <c r="B66" s="16">
        <f>ABS(AVERAGE(B39:C58)-B38)</f>
        <v>1.25</v>
      </c>
      <c r="C66" s="16"/>
      <c r="D66" s="16">
        <f t="shared" ref="D66" si="41">ABS(AVERAGE(D39:E58)-D38)</f>
        <v>0.15000000000009095</v>
      </c>
      <c r="E66" s="16"/>
      <c r="F66" s="16">
        <f t="shared" ref="F66" si="42">ABS(AVERAGE(F39:G58)-F38)</f>
        <v>27.25</v>
      </c>
      <c r="G66" s="16"/>
      <c r="H66" s="16">
        <f t="shared" ref="H66" si="43">ABS(AVERAGE(H39:I58)-H38)</f>
        <v>0.75</v>
      </c>
      <c r="I66" s="16"/>
      <c r="J66" s="21"/>
      <c r="K66" s="21"/>
      <c r="L66" s="26"/>
      <c r="M66" s="26"/>
    </row>
    <row r="67" spans="1:15" x14ac:dyDescent="0.25">
      <c r="A67" s="18" t="s">
        <v>65</v>
      </c>
      <c r="B67" s="16">
        <f>_xlfn.STDEV.S(B39:C58)</f>
        <v>11.461032377490902</v>
      </c>
      <c r="C67" s="16"/>
      <c r="D67" s="16">
        <f t="shared" ref="D67" si="44">_xlfn.STDEV.S(D39:E58)</f>
        <v>10.559480649110892</v>
      </c>
      <c r="E67" s="16"/>
      <c r="F67" s="16">
        <f t="shared" ref="F67" si="45">_xlfn.STDEV.S(F39:G58)</f>
        <v>36.263472995346305</v>
      </c>
      <c r="G67" s="16"/>
      <c r="H67" s="16">
        <f t="shared" ref="H67" si="46">_xlfn.STDEV.S(H39:I58)</f>
        <v>6.6797021679586566</v>
      </c>
      <c r="I67" s="16"/>
      <c r="J67" s="21"/>
      <c r="K67" s="21"/>
      <c r="L67" s="26"/>
      <c r="M67" s="26"/>
    </row>
    <row r="68" spans="1:15" x14ac:dyDescent="0.25">
      <c r="O68" s="23"/>
    </row>
  </sheetData>
  <mergeCells count="244">
    <mergeCell ref="J40:K40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B67:C67"/>
    <mergeCell ref="D67:E67"/>
    <mergeCell ref="F67:G67"/>
    <mergeCell ref="H67:I67"/>
    <mergeCell ref="J67:K67"/>
    <mergeCell ref="L67:M6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B66:C66"/>
    <mergeCell ref="D66:E66"/>
    <mergeCell ref="F66:G66"/>
    <mergeCell ref="H66:I66"/>
    <mergeCell ref="J66:K66"/>
    <mergeCell ref="L66:M66"/>
    <mergeCell ref="L64:M64"/>
    <mergeCell ref="L65:M65"/>
    <mergeCell ref="B36:C36"/>
    <mergeCell ref="D36:E36"/>
    <mergeCell ref="F36:G36"/>
    <mergeCell ref="H36:I36"/>
    <mergeCell ref="J36:K36"/>
    <mergeCell ref="L36:M36"/>
    <mergeCell ref="N36:O36"/>
    <mergeCell ref="B35:C35"/>
    <mergeCell ref="D35:E35"/>
    <mergeCell ref="F35:G35"/>
    <mergeCell ref="H35:I35"/>
    <mergeCell ref="J35:K35"/>
    <mergeCell ref="L35:M35"/>
    <mergeCell ref="N35:O35"/>
    <mergeCell ref="A4:O5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B65:C65"/>
    <mergeCell ref="D65:E65"/>
    <mergeCell ref="F65:G65"/>
    <mergeCell ref="H65:I65"/>
    <mergeCell ref="J65:K65"/>
    <mergeCell ref="B64:C64"/>
    <mergeCell ref="D64:E64"/>
    <mergeCell ref="F64:G64"/>
    <mergeCell ref="H64:I64"/>
    <mergeCell ref="J64:K64"/>
    <mergeCell ref="B63:C63"/>
    <mergeCell ref="D63:E63"/>
    <mergeCell ref="F63:G63"/>
    <mergeCell ref="H63:I63"/>
    <mergeCell ref="J63:K63"/>
    <mergeCell ref="B62:C62"/>
    <mergeCell ref="D62:E62"/>
    <mergeCell ref="F62:G62"/>
    <mergeCell ref="H62:I62"/>
    <mergeCell ref="J62:K62"/>
    <mergeCell ref="B61:C61"/>
    <mergeCell ref="D61:E61"/>
    <mergeCell ref="F61:G61"/>
    <mergeCell ref="H61:I61"/>
    <mergeCell ref="J61:K61"/>
    <mergeCell ref="B60:C60"/>
    <mergeCell ref="D60:E60"/>
    <mergeCell ref="F60:G60"/>
    <mergeCell ref="H60:I60"/>
    <mergeCell ref="J60:K60"/>
    <mergeCell ref="B59:C59"/>
    <mergeCell ref="D59:E59"/>
    <mergeCell ref="F59:G59"/>
    <mergeCell ref="H59:I59"/>
    <mergeCell ref="J59:K59"/>
    <mergeCell ref="B58:C58"/>
    <mergeCell ref="D58:E58"/>
    <mergeCell ref="F58:G58"/>
    <mergeCell ref="H58:I58"/>
    <mergeCell ref="J58:K58"/>
    <mergeCell ref="B57:C57"/>
    <mergeCell ref="D57:E57"/>
    <mergeCell ref="F57:G57"/>
    <mergeCell ref="H57:I57"/>
    <mergeCell ref="J57:K57"/>
    <mergeCell ref="B56:C56"/>
    <mergeCell ref="D56:E56"/>
    <mergeCell ref="F56:G56"/>
    <mergeCell ref="H56:I56"/>
    <mergeCell ref="J56:K56"/>
    <mergeCell ref="B55:C55"/>
    <mergeCell ref="D55:E55"/>
    <mergeCell ref="F55:G55"/>
    <mergeCell ref="H55:I55"/>
    <mergeCell ref="J55:K55"/>
    <mergeCell ref="B54:C54"/>
    <mergeCell ref="D54:E54"/>
    <mergeCell ref="F54:G54"/>
    <mergeCell ref="H54:I54"/>
    <mergeCell ref="J54:K54"/>
    <mergeCell ref="B53:C53"/>
    <mergeCell ref="D53:E53"/>
    <mergeCell ref="F53:G53"/>
    <mergeCell ref="H53:I53"/>
    <mergeCell ref="J53:K53"/>
    <mergeCell ref="B52:C52"/>
    <mergeCell ref="D52:E52"/>
    <mergeCell ref="F52:G52"/>
    <mergeCell ref="H52:I52"/>
    <mergeCell ref="J52:K52"/>
    <mergeCell ref="B51:C51"/>
    <mergeCell ref="D51:E51"/>
    <mergeCell ref="F51:G51"/>
    <mergeCell ref="H51:I51"/>
    <mergeCell ref="J51:K51"/>
    <mergeCell ref="B50:C50"/>
    <mergeCell ref="D50:E50"/>
    <mergeCell ref="F50:G50"/>
    <mergeCell ref="H50:I50"/>
    <mergeCell ref="J50:K50"/>
    <mergeCell ref="B49:C49"/>
    <mergeCell ref="D49:E49"/>
    <mergeCell ref="F49:G49"/>
    <mergeCell ref="H49:I49"/>
    <mergeCell ref="J49:K49"/>
    <mergeCell ref="B48:C48"/>
    <mergeCell ref="D48:E48"/>
    <mergeCell ref="F48:G48"/>
    <mergeCell ref="H48:I48"/>
    <mergeCell ref="J48:K48"/>
    <mergeCell ref="B47:C47"/>
    <mergeCell ref="D47:E47"/>
    <mergeCell ref="F47:G47"/>
    <mergeCell ref="H47:I47"/>
    <mergeCell ref="J47:K47"/>
    <mergeCell ref="B46:C46"/>
    <mergeCell ref="D46:E46"/>
    <mergeCell ref="F46:G46"/>
    <mergeCell ref="H46:I46"/>
    <mergeCell ref="J46:K46"/>
    <mergeCell ref="B45:C45"/>
    <mergeCell ref="D45:E45"/>
    <mergeCell ref="F45:G45"/>
    <mergeCell ref="H45:I45"/>
    <mergeCell ref="J45:K45"/>
    <mergeCell ref="B44:C44"/>
    <mergeCell ref="D44:E44"/>
    <mergeCell ref="F44:G44"/>
    <mergeCell ref="H44:I44"/>
    <mergeCell ref="J44:K44"/>
    <mergeCell ref="B43:C43"/>
    <mergeCell ref="D43:E43"/>
    <mergeCell ref="F43:G43"/>
    <mergeCell ref="H43:I43"/>
    <mergeCell ref="J43:K43"/>
    <mergeCell ref="B42:C42"/>
    <mergeCell ref="D42:E42"/>
    <mergeCell ref="F42:G42"/>
    <mergeCell ref="H42:I42"/>
    <mergeCell ref="J42:K42"/>
    <mergeCell ref="B41:C41"/>
    <mergeCell ref="D41:E41"/>
    <mergeCell ref="F41:G41"/>
    <mergeCell ref="H41:I41"/>
    <mergeCell ref="J41:K41"/>
    <mergeCell ref="B40:C40"/>
    <mergeCell ref="D40:E40"/>
    <mergeCell ref="F40:G40"/>
    <mergeCell ref="H40:I40"/>
    <mergeCell ref="B39:C39"/>
    <mergeCell ref="D39:E39"/>
    <mergeCell ref="F39:G39"/>
    <mergeCell ref="H39:I39"/>
    <mergeCell ref="B38:C38"/>
    <mergeCell ref="D38:E38"/>
    <mergeCell ref="F38:G38"/>
    <mergeCell ref="H38:I38"/>
    <mergeCell ref="J38:K38"/>
    <mergeCell ref="J39:K39"/>
    <mergeCell ref="N32:O32"/>
    <mergeCell ref="B32:C32"/>
    <mergeCell ref="D32:E32"/>
    <mergeCell ref="F32:G32"/>
    <mergeCell ref="H32:I32"/>
    <mergeCell ref="J32:K32"/>
    <mergeCell ref="L32:M32"/>
    <mergeCell ref="N31:O31"/>
    <mergeCell ref="B31:C31"/>
    <mergeCell ref="D31:E31"/>
    <mergeCell ref="F31:G31"/>
    <mergeCell ref="H31:I31"/>
    <mergeCell ref="J31:K31"/>
    <mergeCell ref="L31:M31"/>
    <mergeCell ref="N29:O29"/>
    <mergeCell ref="B30:C30"/>
    <mergeCell ref="D30:E30"/>
    <mergeCell ref="F30:G30"/>
    <mergeCell ref="H30:I30"/>
    <mergeCell ref="J30:K30"/>
    <mergeCell ref="L30:M30"/>
    <mergeCell ref="N30:O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N28:O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715F-E27D-47E7-B61B-3DEA2E4C2023}">
  <dimension ref="C3:S52"/>
  <sheetViews>
    <sheetView workbookViewId="0">
      <selection activeCell="K28" sqref="K28"/>
    </sheetView>
  </sheetViews>
  <sheetFormatPr defaultRowHeight="15" x14ac:dyDescent="0.25"/>
  <cols>
    <col min="3" max="3" width="16.140625" customWidth="1"/>
    <col min="4" max="4" width="23.5703125" customWidth="1"/>
    <col min="5" max="5" width="18.85546875" customWidth="1"/>
    <col min="6" max="6" width="21" customWidth="1"/>
    <col min="7" max="7" width="19.28515625" customWidth="1"/>
    <col min="8" max="8" width="23.140625" customWidth="1"/>
  </cols>
  <sheetData>
    <row r="3" spans="3:8" ht="34.5" customHeight="1" x14ac:dyDescent="0.25">
      <c r="C3" s="19" t="s">
        <v>67</v>
      </c>
      <c r="D3" s="19" t="s">
        <v>66</v>
      </c>
      <c r="E3" s="19" t="s">
        <v>68</v>
      </c>
      <c r="F3" s="19" t="s">
        <v>69</v>
      </c>
      <c r="G3" s="19" t="s">
        <v>65</v>
      </c>
      <c r="H3" s="19" t="s">
        <v>63</v>
      </c>
    </row>
    <row r="4" spans="3:8" x14ac:dyDescent="0.25">
      <c r="C4" s="31">
        <v>600</v>
      </c>
      <c r="D4" s="31">
        <v>603.85</v>
      </c>
      <c r="E4" s="31">
        <v>3.85</v>
      </c>
      <c r="F4" s="31">
        <v>0.64</v>
      </c>
      <c r="G4" s="31">
        <v>15.54</v>
      </c>
      <c r="H4" s="31">
        <v>2.57</v>
      </c>
    </row>
    <row r="5" spans="3:8" x14ac:dyDescent="0.25">
      <c r="C5" s="31">
        <v>800</v>
      </c>
      <c r="D5" s="31">
        <v>803.9</v>
      </c>
      <c r="E5" s="31">
        <v>3.9</v>
      </c>
      <c r="F5" s="31">
        <v>0.49</v>
      </c>
      <c r="G5" s="31">
        <v>11.17</v>
      </c>
      <c r="H5" s="31">
        <v>1.39</v>
      </c>
    </row>
    <row r="6" spans="3:8" x14ac:dyDescent="0.25">
      <c r="C6" s="31">
        <v>1000</v>
      </c>
      <c r="D6" s="31">
        <v>1000.85</v>
      </c>
      <c r="E6" s="31">
        <v>0.85</v>
      </c>
      <c r="F6" s="31">
        <v>0.09</v>
      </c>
      <c r="G6" s="31">
        <v>9.2200000000000006</v>
      </c>
      <c r="H6" s="31">
        <v>0.92</v>
      </c>
    </row>
    <row r="7" spans="3:8" x14ac:dyDescent="0.25">
      <c r="C7" s="31">
        <v>1500</v>
      </c>
      <c r="D7" s="31">
        <v>1504.6</v>
      </c>
      <c r="E7" s="31">
        <v>4.5999999999999996</v>
      </c>
      <c r="F7" s="31">
        <v>0.31</v>
      </c>
      <c r="G7" s="31">
        <v>11.82</v>
      </c>
      <c r="H7" s="31">
        <v>0.78</v>
      </c>
    </row>
    <row r="8" spans="3:8" x14ac:dyDescent="0.25">
      <c r="C8" s="31">
        <v>2000</v>
      </c>
      <c r="D8" s="31">
        <v>2004.9</v>
      </c>
      <c r="E8" s="31">
        <v>4.9000000000000004</v>
      </c>
      <c r="F8" s="31">
        <v>0.25</v>
      </c>
      <c r="G8" s="31">
        <v>12.43</v>
      </c>
      <c r="H8" s="31">
        <v>0.62</v>
      </c>
    </row>
    <row r="9" spans="3:8" x14ac:dyDescent="0.25">
      <c r="C9" s="31">
        <v>2500</v>
      </c>
      <c r="D9" s="31">
        <v>2502.25</v>
      </c>
      <c r="E9" s="31">
        <v>2.25</v>
      </c>
      <c r="F9" s="31">
        <v>0.09</v>
      </c>
      <c r="G9" s="31">
        <v>13.71</v>
      </c>
      <c r="H9" s="31">
        <v>0.55000000000000004</v>
      </c>
    </row>
    <row r="10" spans="3:8" x14ac:dyDescent="0.25">
      <c r="C10" s="31">
        <v>3000</v>
      </c>
      <c r="D10" s="31">
        <v>3000.3</v>
      </c>
      <c r="E10" s="31">
        <v>0.3</v>
      </c>
      <c r="F10" s="31">
        <v>0.01</v>
      </c>
      <c r="G10" s="31">
        <v>10.67</v>
      </c>
      <c r="H10" s="31">
        <v>0.36</v>
      </c>
    </row>
    <row r="11" spans="3:8" x14ac:dyDescent="0.25">
      <c r="C11" s="31">
        <v>3500</v>
      </c>
      <c r="D11" s="31">
        <v>3498.75</v>
      </c>
      <c r="E11" s="31">
        <v>1.25</v>
      </c>
      <c r="F11" s="31">
        <v>0.04</v>
      </c>
      <c r="G11" s="31">
        <v>11.46</v>
      </c>
      <c r="H11" s="31">
        <v>0.33</v>
      </c>
    </row>
    <row r="12" spans="3:8" x14ac:dyDescent="0.25">
      <c r="C12" s="31">
        <v>4000</v>
      </c>
      <c r="D12" s="31">
        <v>4000.15</v>
      </c>
      <c r="E12" s="31">
        <v>0.15</v>
      </c>
      <c r="F12" s="31">
        <v>0</v>
      </c>
      <c r="G12" s="31">
        <v>10.56</v>
      </c>
      <c r="H12" s="31">
        <v>0.26</v>
      </c>
    </row>
    <row r="13" spans="3:8" x14ac:dyDescent="0.25">
      <c r="C13" s="31">
        <v>4500</v>
      </c>
      <c r="D13" s="31">
        <v>4527.25</v>
      </c>
      <c r="E13" s="31">
        <v>27.25</v>
      </c>
      <c r="F13" s="31">
        <v>0.61</v>
      </c>
      <c r="G13" s="31">
        <v>36.26</v>
      </c>
      <c r="H13" s="31">
        <v>0.8</v>
      </c>
    </row>
    <row r="14" spans="3:8" x14ac:dyDescent="0.25">
      <c r="C14" s="31">
        <v>5000</v>
      </c>
      <c r="D14" s="31">
        <v>5000.75</v>
      </c>
      <c r="E14" s="31">
        <v>0.75</v>
      </c>
      <c r="F14" s="31">
        <v>0.02</v>
      </c>
      <c r="G14" s="31">
        <v>6.68</v>
      </c>
      <c r="H14" s="31">
        <v>0.13</v>
      </c>
    </row>
    <row r="20" spans="3:19" ht="30.75" customHeight="1" x14ac:dyDescent="0.25">
      <c r="C20" s="34" t="s">
        <v>72</v>
      </c>
      <c r="D20" s="34"/>
      <c r="E20" s="34"/>
      <c r="F20" s="34"/>
      <c r="G20" s="34"/>
      <c r="H20" s="34"/>
    </row>
    <row r="21" spans="3:19" x14ac:dyDescent="0.25">
      <c r="C21" s="33" t="s">
        <v>70</v>
      </c>
      <c r="D21" s="13"/>
      <c r="E21" s="13"/>
      <c r="F21" s="13"/>
      <c r="G21" s="13"/>
      <c r="H21" s="13"/>
    </row>
    <row r="22" spans="3:19" x14ac:dyDescent="0.25">
      <c r="C22" s="33" t="s">
        <v>71</v>
      </c>
      <c r="D22" s="13"/>
      <c r="E22" s="13"/>
      <c r="F22" s="13"/>
      <c r="G22" s="13"/>
      <c r="H22" s="13"/>
    </row>
    <row r="30" spans="3:19" x14ac:dyDescent="0.25">
      <c r="L30" s="14" t="s">
        <v>74</v>
      </c>
      <c r="M30" s="14"/>
      <c r="N30" s="14"/>
      <c r="O30" s="14"/>
      <c r="P30" s="14"/>
      <c r="Q30" s="14"/>
      <c r="R30" s="14"/>
      <c r="S30" s="14"/>
    </row>
    <row r="51" spans="3:19" x14ac:dyDescent="0.25">
      <c r="C51" s="14" t="s">
        <v>73</v>
      </c>
      <c r="D51" s="14"/>
      <c r="E51" s="14"/>
      <c r="F51" s="14"/>
      <c r="G51" s="14"/>
      <c r="H51" s="14"/>
    </row>
    <row r="52" spans="3:19" x14ac:dyDescent="0.25">
      <c r="L52" s="14" t="s">
        <v>75</v>
      </c>
      <c r="M52" s="14"/>
      <c r="N52" s="14"/>
      <c r="O52" s="14"/>
      <c r="P52" s="14"/>
      <c r="Q52" s="14"/>
      <c r="R52" s="14"/>
      <c r="S52" s="14"/>
    </row>
  </sheetData>
  <mergeCells count="6">
    <mergeCell ref="C20:H20"/>
    <mergeCell ref="D21:H21"/>
    <mergeCell ref="D22:H22"/>
    <mergeCell ref="C51:H51"/>
    <mergeCell ref="L30:S30"/>
    <mergeCell ref="L52:S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Oxilo</vt:lpstr>
      <vt:lpstr>Máy đo</vt:lpstr>
      <vt:lpstr>Tóm tắt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 Van Hai</cp:lastModifiedBy>
  <dcterms:created xsi:type="dcterms:W3CDTF">2025-11-03T17:31:09Z</dcterms:created>
  <dcterms:modified xsi:type="dcterms:W3CDTF">2025-11-05T15:12:15Z</dcterms:modified>
</cp:coreProperties>
</file>