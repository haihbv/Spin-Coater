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strator\OneDrive\Desktop\Spin_Coating\"/>
    </mc:Choice>
  </mc:AlternateContent>
  <xr:revisionPtr revIDLastSave="0" documentId="13_ncr:1_{0BD1E481-1AF4-425A-8171-C52F9A3C1E62}" xr6:coauthVersionLast="47" xr6:coauthVersionMax="47" xr10:uidLastSave="{00000000-0000-0000-0000-000000000000}"/>
  <bookViews>
    <workbookView xWindow="-120" yWindow="-120" windowWidth="29040" windowHeight="16440" xr2:uid="{6D3F6120-CC81-49EE-80C1-F45CE80F8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D9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45" i="1"/>
  <c r="G44" i="1"/>
  <c r="G42" i="1"/>
  <c r="G39" i="1"/>
  <c r="G38" i="1"/>
  <c r="G37" i="1"/>
  <c r="G40" i="1"/>
  <c r="G41" i="1"/>
  <c r="G43" i="1"/>
  <c r="G36" i="1"/>
  <c r="G35" i="1"/>
  <c r="G34" i="1"/>
  <c r="G33" i="1"/>
  <c r="G32" i="1"/>
  <c r="G31" i="1"/>
  <c r="G30" i="1"/>
  <c r="G18" i="1"/>
  <c r="G19" i="1"/>
  <c r="G20" i="1"/>
  <c r="G21" i="1"/>
  <c r="G22" i="1"/>
  <c r="G23" i="1"/>
  <c r="G24" i="1"/>
  <c r="G25" i="1"/>
  <c r="G26" i="1"/>
  <c r="G27" i="1"/>
  <c r="G28" i="1"/>
  <c r="G29" i="1"/>
  <c r="G6" i="1"/>
  <c r="G7" i="1"/>
  <c r="G8" i="1"/>
  <c r="G10" i="1"/>
  <c r="G11" i="1"/>
  <c r="G12" i="1"/>
  <c r="G13" i="1"/>
  <c r="G14" i="1"/>
  <c r="G15" i="1"/>
  <c r="G16" i="1"/>
  <c r="G17" i="1"/>
  <c r="G5" i="1"/>
  <c r="D12" i="1"/>
  <c r="D11" i="1"/>
  <c r="D6" i="1"/>
  <c r="D7" i="1"/>
  <c r="D8" i="1"/>
  <c r="D10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5" i="1"/>
  <c r="K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30" i="1"/>
  <c r="K82" i="1"/>
  <c r="K83" i="1"/>
  <c r="K84" i="1"/>
  <c r="K85" i="1"/>
  <c r="K86" i="1"/>
  <c r="K87" i="1"/>
  <c r="K88" i="1"/>
  <c r="K89" i="1"/>
  <c r="K90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57" i="1"/>
  <c r="K58" i="1"/>
  <c r="K59" i="1"/>
  <c r="K60" i="1"/>
  <c r="K61" i="1"/>
  <c r="K62" i="1"/>
  <c r="K63" i="1"/>
  <c r="K64" i="1"/>
  <c r="K65" i="1"/>
  <c r="K66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</authors>
  <commentList>
    <comment ref="F4" authorId="0" shapeId="0" xr:uid="{434DCBC9-ABF2-4973-8D2E-CF5507755B18}">
      <text>
        <r>
          <rPr>
            <b/>
            <sz val="9"/>
            <color indexed="81"/>
            <rFont val="Tahoma"/>
            <charset val="1"/>
          </rPr>
          <t>Adminstrator:</t>
        </r>
        <r>
          <rPr>
            <sz val="9"/>
            <color indexed="81"/>
            <rFont val="Tahoma"/>
            <charset val="1"/>
          </rPr>
          <t xml:space="preserve">
Số xung trong thời gian lấy mẫu ở đây là số xung trong 100ms
</t>
        </r>
      </text>
    </comment>
    <comment ref="J28" authorId="0" shapeId="0" xr:uid="{5FCBDFAD-3531-4601-91E5-DC1F56249FA4}">
      <text>
        <r>
          <rPr>
            <b/>
            <sz val="9"/>
            <color indexed="81"/>
            <rFont val="Tahoma"/>
            <charset val="1"/>
          </rPr>
          <t>Adminstrator:</t>
        </r>
        <r>
          <rPr>
            <sz val="9"/>
            <color indexed="81"/>
            <rFont val="Tahoma"/>
            <charset val="1"/>
          </rPr>
          <t xml:space="preserve">
Theo các thông số phần cứng được nếu ra
Nhưng thực tế các RPM ko tuyến tính theo DUTY
</t>
        </r>
      </text>
    </comment>
  </commentList>
</comments>
</file>

<file path=xl/sharedStrings.xml><?xml version="1.0" encoding="utf-8"?>
<sst xmlns="http://schemas.openxmlformats.org/spreadsheetml/2006/main" count="10" uniqueCount="8">
  <si>
    <t>DUTY CYCLE</t>
  </si>
  <si>
    <t>DUTY VALUE</t>
  </si>
  <si>
    <t>RPM</t>
  </si>
  <si>
    <t>LÝ THUYẾT - (12V - 6000 RPM)</t>
  </si>
  <si>
    <t>RPM ĐO</t>
  </si>
  <si>
    <t>Time Pulse Ms</t>
  </si>
  <si>
    <t>Xung/ giây</t>
  </si>
  <si>
    <t>THỰC NGHIỆM - (12V - 6000 RPM - 50ms)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</si>
</sst>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1"/>
      <color rgb="FF006100"/>
      <name val="Aptos Narrow"/>
      <family val="2"/>
      <scheme val="minor"/>
    </font>
    <font>
      <sz val="14"/>
      <color rgb="FF0061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49</xdr:row>
      <xdr:rowOff>0</xdr:rowOff>
    </xdr:from>
    <xdr:to>
      <xdr:col>10</xdr:col>
      <xdr:colOff>304800</xdr:colOff>
      <xdr:row>50</xdr:row>
      <xdr:rowOff>76200</xdr:rowOff>
    </xdr:to>
    <xdr:sp macro="" textlink="">
      <xdr:nvSpPr>
        <xdr:cNvPr id="1027" name="AutoShape 3" descr="Output image">
          <a:extLst>
            <a:ext uri="{FF2B5EF4-FFF2-40B4-BE49-F238E27FC236}">
              <a16:creationId xmlns:a16="http://schemas.microsoft.com/office/drawing/2014/main" id="{320EFEF9-ED4E-7B5E-089E-DBD4075C8C28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11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304800</xdr:colOff>
      <xdr:row>56</xdr:row>
      <xdr:rowOff>76200</xdr:rowOff>
    </xdr:to>
    <xdr:sp macro="" textlink="">
      <xdr:nvSpPr>
        <xdr:cNvPr id="1028" name="AutoShape 4" descr="Output image">
          <a:extLst>
            <a:ext uri="{FF2B5EF4-FFF2-40B4-BE49-F238E27FC236}">
              <a16:creationId xmlns:a16="http://schemas.microsoft.com/office/drawing/2014/main" id="{C8E37C6A-81B0-02A6-6C61-9ECFCE8FAEA0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124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76200</xdr:rowOff>
    </xdr:to>
    <xdr:sp macro="" textlink="">
      <xdr:nvSpPr>
        <xdr:cNvPr id="1029" name="AutoShape 5" descr="Output image">
          <a:extLst>
            <a:ext uri="{FF2B5EF4-FFF2-40B4-BE49-F238E27FC236}">
              <a16:creationId xmlns:a16="http://schemas.microsoft.com/office/drawing/2014/main" id="{82A86656-67A6-15CB-6A96-DED599B0BA81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117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56</xdr:row>
      <xdr:rowOff>0</xdr:rowOff>
    </xdr:from>
    <xdr:ext cx="304800" cy="304800"/>
    <xdr:sp macro="" textlink="">
      <xdr:nvSpPr>
        <xdr:cNvPr id="3" name="AutoShape 3" descr="Output image">
          <a:extLst>
            <a:ext uri="{FF2B5EF4-FFF2-40B4-BE49-F238E27FC236}">
              <a16:creationId xmlns:a16="http://schemas.microsoft.com/office/drawing/2014/main" id="{2AA40133-D34E-46AE-8A70-3572757BFC66}"/>
            </a:ext>
          </a:extLst>
        </xdr:cNvPr>
        <xdr:cNvSpPr>
          <a:spLocks noChangeAspect="1" noChangeArrowheads="1"/>
        </xdr:cNvSpPr>
      </xdr:nvSpPr>
      <xdr:spPr bwMode="auto">
        <a:xfrm>
          <a:off x="13068300" y="11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62</xdr:row>
      <xdr:rowOff>0</xdr:rowOff>
    </xdr:from>
    <xdr:ext cx="304800" cy="304800"/>
    <xdr:sp macro="" textlink="">
      <xdr:nvSpPr>
        <xdr:cNvPr id="5" name="AutoShape 4" descr="Output image">
          <a:extLst>
            <a:ext uri="{FF2B5EF4-FFF2-40B4-BE49-F238E27FC236}">
              <a16:creationId xmlns:a16="http://schemas.microsoft.com/office/drawing/2014/main" id="{D7800198-5D29-4EB1-A752-5D617E72E372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124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59</xdr:row>
      <xdr:rowOff>0</xdr:rowOff>
    </xdr:from>
    <xdr:ext cx="304800" cy="304800"/>
    <xdr:sp macro="" textlink="">
      <xdr:nvSpPr>
        <xdr:cNvPr id="6" name="AutoShape 5" descr="Output image">
          <a:extLst>
            <a:ext uri="{FF2B5EF4-FFF2-40B4-BE49-F238E27FC236}">
              <a16:creationId xmlns:a16="http://schemas.microsoft.com/office/drawing/2014/main" id="{98B3E023-6DF3-4F42-BFF8-2C17B45444DF}"/>
            </a:ext>
          </a:extLst>
        </xdr:cNvPr>
        <xdr:cNvSpPr>
          <a:spLocks noChangeAspect="1" noChangeArrowheads="1"/>
        </xdr:cNvSpPr>
      </xdr:nvSpPr>
      <xdr:spPr bwMode="auto">
        <a:xfrm>
          <a:off x="13068300" y="117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68</xdr:row>
      <xdr:rowOff>0</xdr:rowOff>
    </xdr:from>
    <xdr:ext cx="304800" cy="304800"/>
    <xdr:sp macro="" textlink="">
      <xdr:nvSpPr>
        <xdr:cNvPr id="7" name="AutoShape 4" descr="Output image">
          <a:extLst>
            <a:ext uri="{FF2B5EF4-FFF2-40B4-BE49-F238E27FC236}">
              <a16:creationId xmlns:a16="http://schemas.microsoft.com/office/drawing/2014/main" id="{6F218DBB-5F28-4A7D-9234-C63A2FD5EF87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140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65</xdr:row>
      <xdr:rowOff>0</xdr:rowOff>
    </xdr:from>
    <xdr:ext cx="304800" cy="304800"/>
    <xdr:sp macro="" textlink="">
      <xdr:nvSpPr>
        <xdr:cNvPr id="8" name="AutoShape 5" descr="Output image">
          <a:extLst>
            <a:ext uri="{FF2B5EF4-FFF2-40B4-BE49-F238E27FC236}">
              <a16:creationId xmlns:a16="http://schemas.microsoft.com/office/drawing/2014/main" id="{A28DEC56-B7F0-4C35-ADEE-FA3E9D792BD4}"/>
            </a:ext>
          </a:extLst>
        </xdr:cNvPr>
        <xdr:cNvSpPr>
          <a:spLocks noChangeAspect="1" noChangeArrowheads="1"/>
        </xdr:cNvSpPr>
      </xdr:nvSpPr>
      <xdr:spPr bwMode="auto">
        <a:xfrm>
          <a:off x="13068300" y="133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9" name="AutoShape 4" descr="Output image">
          <a:extLst>
            <a:ext uri="{FF2B5EF4-FFF2-40B4-BE49-F238E27FC236}">
              <a16:creationId xmlns:a16="http://schemas.microsoft.com/office/drawing/2014/main" id="{545BC4A9-A248-4B8D-BF1A-42724F92C5C7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140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71</xdr:row>
      <xdr:rowOff>0</xdr:rowOff>
    </xdr:from>
    <xdr:ext cx="304800" cy="304800"/>
    <xdr:sp macro="" textlink="">
      <xdr:nvSpPr>
        <xdr:cNvPr id="10" name="AutoShape 5" descr="Output image">
          <a:extLst>
            <a:ext uri="{FF2B5EF4-FFF2-40B4-BE49-F238E27FC236}">
              <a16:creationId xmlns:a16="http://schemas.microsoft.com/office/drawing/2014/main" id="{389317AB-8831-4E95-A56F-E26E957DA6AC}"/>
            </a:ext>
          </a:extLst>
        </xdr:cNvPr>
        <xdr:cNvSpPr>
          <a:spLocks noChangeAspect="1" noChangeArrowheads="1"/>
        </xdr:cNvSpPr>
      </xdr:nvSpPr>
      <xdr:spPr bwMode="auto">
        <a:xfrm>
          <a:off x="13068300" y="133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77</xdr:row>
      <xdr:rowOff>0</xdr:rowOff>
    </xdr:from>
    <xdr:ext cx="304800" cy="304800"/>
    <xdr:sp macro="" textlink="">
      <xdr:nvSpPr>
        <xdr:cNvPr id="11" name="AutoShape 5" descr="Output image">
          <a:extLst>
            <a:ext uri="{FF2B5EF4-FFF2-40B4-BE49-F238E27FC236}">
              <a16:creationId xmlns:a16="http://schemas.microsoft.com/office/drawing/2014/main" id="{C252624F-419E-4832-8EB4-22F5B42CADBB}"/>
            </a:ext>
          </a:extLst>
        </xdr:cNvPr>
        <xdr:cNvSpPr>
          <a:spLocks noChangeAspect="1" noChangeArrowheads="1"/>
        </xdr:cNvSpPr>
      </xdr:nvSpPr>
      <xdr:spPr bwMode="auto">
        <a:xfrm>
          <a:off x="13068300" y="147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84</xdr:row>
      <xdr:rowOff>0</xdr:rowOff>
    </xdr:from>
    <xdr:ext cx="304800" cy="304800"/>
    <xdr:sp macro="" textlink="">
      <xdr:nvSpPr>
        <xdr:cNvPr id="12" name="AutoShape 4" descr="Output image">
          <a:extLst>
            <a:ext uri="{FF2B5EF4-FFF2-40B4-BE49-F238E27FC236}">
              <a16:creationId xmlns:a16="http://schemas.microsoft.com/office/drawing/2014/main" id="{524F16FA-E061-42AE-94A3-6843AAC79979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167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81</xdr:row>
      <xdr:rowOff>0</xdr:rowOff>
    </xdr:from>
    <xdr:ext cx="304800" cy="304800"/>
    <xdr:sp macro="" textlink="">
      <xdr:nvSpPr>
        <xdr:cNvPr id="13" name="AutoShape 5" descr="Output image">
          <a:extLst>
            <a:ext uri="{FF2B5EF4-FFF2-40B4-BE49-F238E27FC236}">
              <a16:creationId xmlns:a16="http://schemas.microsoft.com/office/drawing/2014/main" id="{78C6A2D2-F2B8-4AEF-B534-E8DF0E9B1AEB}"/>
            </a:ext>
          </a:extLst>
        </xdr:cNvPr>
        <xdr:cNvSpPr>
          <a:spLocks noChangeAspect="1" noChangeArrowheads="1"/>
        </xdr:cNvSpPr>
      </xdr:nvSpPr>
      <xdr:spPr bwMode="auto">
        <a:xfrm>
          <a:off x="13068300" y="160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87</xdr:row>
      <xdr:rowOff>0</xdr:rowOff>
    </xdr:from>
    <xdr:ext cx="304800" cy="304800"/>
    <xdr:sp macro="" textlink="">
      <xdr:nvSpPr>
        <xdr:cNvPr id="14" name="AutoShape 5" descr="Output image">
          <a:extLst>
            <a:ext uri="{FF2B5EF4-FFF2-40B4-BE49-F238E27FC236}">
              <a16:creationId xmlns:a16="http://schemas.microsoft.com/office/drawing/2014/main" id="{76E6E653-2739-46BA-9FC3-F2CA8EDD98D6}"/>
            </a:ext>
          </a:extLst>
        </xdr:cNvPr>
        <xdr:cNvSpPr>
          <a:spLocks noChangeAspect="1" noChangeArrowheads="1"/>
        </xdr:cNvSpPr>
      </xdr:nvSpPr>
      <xdr:spPr bwMode="auto">
        <a:xfrm>
          <a:off x="13068300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99</xdr:row>
      <xdr:rowOff>0</xdr:rowOff>
    </xdr:from>
    <xdr:to>
      <xdr:col>4</xdr:col>
      <xdr:colOff>304800</xdr:colOff>
      <xdr:row>100</xdr:row>
      <xdr:rowOff>76200</xdr:rowOff>
    </xdr:to>
    <xdr:sp macro="" textlink="">
      <xdr:nvSpPr>
        <xdr:cNvPr id="15" name="AutoShape 3" descr="Output image">
          <a:extLst>
            <a:ext uri="{FF2B5EF4-FFF2-40B4-BE49-F238E27FC236}">
              <a16:creationId xmlns:a16="http://schemas.microsoft.com/office/drawing/2014/main" id="{8657D96A-DFC3-EA4C-8A18-502FE95E4C3C}"/>
            </a:ext>
          </a:extLst>
        </xdr:cNvPr>
        <xdr:cNvSpPr>
          <a:spLocks noChangeAspect="1" noChangeArrowheads="1"/>
        </xdr:cNvSpPr>
      </xdr:nvSpPr>
      <xdr:spPr bwMode="auto">
        <a:xfrm>
          <a:off x="3705225" y="2248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881062</xdr:colOff>
      <xdr:row>95</xdr:row>
      <xdr:rowOff>142875</xdr:rowOff>
    </xdr:from>
    <xdr:to>
      <xdr:col>14</xdr:col>
      <xdr:colOff>500062</xdr:colOff>
      <xdr:row>136</xdr:row>
      <xdr:rowOff>95250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EA1B584-1731-5863-6D0F-0BEF1E3C4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7562" y="22598063"/>
          <a:ext cx="15073313" cy="971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4599-89AC-46FB-824A-1AB581537F7D}">
  <dimension ref="C2:N100"/>
  <sheetViews>
    <sheetView tabSelected="1" topLeftCell="B1" zoomScaleNormal="100" workbookViewId="0">
      <selection activeCell="E26" sqref="E26"/>
    </sheetView>
  </sheetViews>
  <sheetFormatPr defaultRowHeight="18" x14ac:dyDescent="0.25"/>
  <cols>
    <col min="1" max="2" width="9.140625" style="3"/>
    <col min="3" max="3" width="18.5703125" style="3" bestFit="1" customWidth="1"/>
    <col min="4" max="4" width="18.7109375" style="3" bestFit="1" customWidth="1"/>
    <col min="5" max="5" width="19.28515625" style="3" customWidth="1"/>
    <col min="6" max="6" width="38.42578125" style="3" bestFit="1" customWidth="1"/>
    <col min="7" max="7" width="19.7109375" style="3" bestFit="1" customWidth="1"/>
    <col min="8" max="8" width="18.5703125" style="3" bestFit="1" customWidth="1"/>
    <col min="9" max="9" width="18.7109375" style="3" bestFit="1" customWidth="1"/>
    <col min="10" max="10" width="25.7109375" style="3" customWidth="1"/>
    <col min="11" max="11" width="22" style="3" customWidth="1"/>
    <col min="12" max="12" width="16.28515625" style="3" customWidth="1"/>
    <col min="13" max="13" width="25.140625" style="3" bestFit="1" customWidth="1"/>
    <col min="14" max="16384" width="9.140625" style="3"/>
  </cols>
  <sheetData>
    <row r="2" spans="3:13" x14ac:dyDescent="0.25">
      <c r="J2" s="6"/>
      <c r="K2" s="6"/>
      <c r="L2" s="6"/>
      <c r="M2" s="7"/>
    </row>
    <row r="3" spans="3:13" ht="24.75" customHeight="1" x14ac:dyDescent="0.25">
      <c r="C3" s="11" t="s">
        <v>7</v>
      </c>
      <c r="D3" s="11"/>
      <c r="E3" s="11"/>
      <c r="F3" s="11"/>
      <c r="G3" s="11"/>
      <c r="J3" s="11"/>
      <c r="K3" s="11"/>
      <c r="L3" s="11"/>
      <c r="M3"/>
    </row>
    <row r="4" spans="3:13" x14ac:dyDescent="0.25">
      <c r="C4" s="1" t="s">
        <v>1</v>
      </c>
      <c r="D4" s="1" t="s">
        <v>0</v>
      </c>
      <c r="E4" s="1" t="s">
        <v>4</v>
      </c>
      <c r="F4" s="1" t="s">
        <v>5</v>
      </c>
      <c r="G4" s="1" t="s">
        <v>6</v>
      </c>
      <c r="J4" s="1"/>
      <c r="K4" s="1"/>
      <c r="L4" s="1"/>
    </row>
    <row r="5" spans="3:13" x14ac:dyDescent="0.25">
      <c r="C5" s="1">
        <v>4500</v>
      </c>
      <c r="D5" s="2">
        <f xml:space="preserve"> C5 * 100 / 60000 / 100</f>
        <v>7.4999999999999997E-2</v>
      </c>
      <c r="E5" s="1">
        <v>0</v>
      </c>
      <c r="F5" s="1">
        <v>0</v>
      </c>
      <c r="G5" s="1">
        <f>F5*2000/100/4</f>
        <v>0</v>
      </c>
      <c r="J5" s="1"/>
      <c r="K5" s="2"/>
      <c r="L5" s="1"/>
    </row>
    <row r="6" spans="3:13" x14ac:dyDescent="0.25">
      <c r="C6" s="1">
        <v>4525</v>
      </c>
      <c r="D6" s="2">
        <f t="shared" ref="D6:D8" si="0" xml:space="preserve"> C6 * 100 / 60000 / 100</f>
        <v>7.5416666666666674E-2</v>
      </c>
      <c r="E6" s="1">
        <v>0</v>
      </c>
      <c r="F6" s="1">
        <v>0</v>
      </c>
      <c r="G6" s="1">
        <f t="shared" ref="G6:G67" si="1">F6*2000/100/4</f>
        <v>0</v>
      </c>
      <c r="J6" s="1"/>
      <c r="K6" s="2"/>
      <c r="L6" s="1"/>
    </row>
    <row r="7" spans="3:13" x14ac:dyDescent="0.25">
      <c r="C7" s="1">
        <v>4550</v>
      </c>
      <c r="D7" s="2">
        <f t="shared" si="0"/>
        <v>7.5833333333333336E-2</v>
      </c>
      <c r="E7" s="1">
        <v>0</v>
      </c>
      <c r="F7" s="1">
        <v>0</v>
      </c>
      <c r="G7" s="1">
        <f t="shared" si="1"/>
        <v>0</v>
      </c>
      <c r="J7" s="1"/>
      <c r="K7" s="2"/>
      <c r="L7" s="1"/>
    </row>
    <row r="8" spans="3:13" x14ac:dyDescent="0.25">
      <c r="C8" s="1">
        <v>4575</v>
      </c>
      <c r="D8" s="2">
        <f t="shared" si="0"/>
        <v>7.6249999999999998E-2</v>
      </c>
      <c r="E8" s="1">
        <v>0</v>
      </c>
      <c r="F8" s="1">
        <v>0</v>
      </c>
      <c r="G8" s="1">
        <f t="shared" si="1"/>
        <v>0</v>
      </c>
      <c r="J8" s="1"/>
      <c r="K8" s="2"/>
      <c r="L8" s="1"/>
    </row>
    <row r="9" spans="3:13" x14ac:dyDescent="0.25">
      <c r="C9" s="1">
        <v>4610</v>
      </c>
      <c r="D9" s="2">
        <f xml:space="preserve"> C9 * 100 / 60000 / 100</f>
        <v>7.6833333333333337E-2</v>
      </c>
      <c r="E9" s="1">
        <v>600</v>
      </c>
      <c r="F9" s="1">
        <v>32</v>
      </c>
      <c r="G9" s="1">
        <f t="shared" ref="G9" si="2">F9*2000/100/4</f>
        <v>160</v>
      </c>
      <c r="J9" s="1"/>
      <c r="K9" s="2"/>
      <c r="L9" s="1"/>
    </row>
    <row r="10" spans="3:13" x14ac:dyDescent="0.25">
      <c r="C10" s="1">
        <v>4620</v>
      </c>
      <c r="D10" s="2">
        <f xml:space="preserve"> C10 * 100 / 60000 / 100</f>
        <v>7.6999999999999999E-2</v>
      </c>
      <c r="E10" s="1">
        <v>600</v>
      </c>
      <c r="F10" s="1">
        <v>32</v>
      </c>
      <c r="G10" s="1">
        <f t="shared" si="1"/>
        <v>160</v>
      </c>
      <c r="J10" s="1"/>
      <c r="K10" s="2"/>
      <c r="L10" s="1"/>
    </row>
    <row r="11" spans="3:13" x14ac:dyDescent="0.25">
      <c r="C11" s="1">
        <v>4625</v>
      </c>
      <c r="D11" s="2">
        <f xml:space="preserve"> C11 * 100 / 60000 / 100</f>
        <v>7.7083333333333337E-2</v>
      </c>
      <c r="E11" s="1">
        <v>825</v>
      </c>
      <c r="F11" s="1">
        <v>44</v>
      </c>
      <c r="G11" s="1">
        <f t="shared" si="1"/>
        <v>220</v>
      </c>
      <c r="J11" s="1"/>
      <c r="K11" s="2"/>
      <c r="L11" s="1"/>
    </row>
    <row r="12" spans="3:13" x14ac:dyDescent="0.25">
      <c r="C12" s="1">
        <v>4635</v>
      </c>
      <c r="D12" s="2">
        <f xml:space="preserve"> C12 * 100 / 60000 / 100</f>
        <v>7.7249999999999999E-2</v>
      </c>
      <c r="E12" s="1">
        <v>1050</v>
      </c>
      <c r="F12" s="1">
        <v>56</v>
      </c>
      <c r="G12" s="1">
        <f t="shared" si="1"/>
        <v>280</v>
      </c>
      <c r="J12" s="1"/>
      <c r="K12" s="2"/>
      <c r="L12" s="1"/>
    </row>
    <row r="13" spans="3:13" x14ac:dyDescent="0.25">
      <c r="C13" s="1">
        <v>4650</v>
      </c>
      <c r="D13" s="2">
        <f xml:space="preserve"> C13 * 100 / 60000 / 100</f>
        <v>7.7499999999999999E-2</v>
      </c>
      <c r="E13" s="1">
        <v>1312.5</v>
      </c>
      <c r="F13" s="1">
        <v>70</v>
      </c>
      <c r="G13" s="1">
        <f t="shared" si="1"/>
        <v>350</v>
      </c>
      <c r="J13" s="1"/>
      <c r="K13" s="2"/>
      <c r="L13" s="1"/>
    </row>
    <row r="14" spans="3:13" x14ac:dyDescent="0.25">
      <c r="C14" s="1">
        <v>4675</v>
      </c>
      <c r="D14" s="2">
        <f xml:space="preserve"> C14 * 100 / 60000 / 100</f>
        <v>7.7916666666666676E-2</v>
      </c>
      <c r="E14" s="1">
        <v>1837.5</v>
      </c>
      <c r="F14" s="1">
        <v>98</v>
      </c>
      <c r="G14" s="1">
        <f t="shared" si="1"/>
        <v>490</v>
      </c>
      <c r="J14" s="1"/>
      <c r="K14" s="2"/>
      <c r="L14" s="1"/>
    </row>
    <row r="15" spans="3:13" x14ac:dyDescent="0.25">
      <c r="C15" s="1">
        <v>4700</v>
      </c>
      <c r="D15" s="2">
        <f xml:space="preserve"> C15 * 100 / 60000 / 100</f>
        <v>7.8333333333333324E-2</v>
      </c>
      <c r="E15" s="1">
        <v>2568.75</v>
      </c>
      <c r="F15" s="1">
        <v>137</v>
      </c>
      <c r="G15" s="1">
        <f t="shared" si="1"/>
        <v>685</v>
      </c>
      <c r="J15" s="1"/>
      <c r="K15" s="2"/>
      <c r="L15" s="1"/>
    </row>
    <row r="16" spans="3:13" x14ac:dyDescent="0.25">
      <c r="C16" s="1">
        <v>4725</v>
      </c>
      <c r="D16" s="2">
        <f xml:space="preserve"> C16 * 100 / 60000 / 100</f>
        <v>7.8750000000000001E-2</v>
      </c>
      <c r="E16" s="1">
        <v>3037.5</v>
      </c>
      <c r="F16" s="1">
        <v>162</v>
      </c>
      <c r="G16" s="1">
        <f t="shared" si="1"/>
        <v>810</v>
      </c>
      <c r="J16" s="1"/>
      <c r="K16" s="2"/>
      <c r="L16" s="1"/>
    </row>
    <row r="17" spans="3:12" x14ac:dyDescent="0.25">
      <c r="C17" s="1">
        <v>4750</v>
      </c>
      <c r="D17" s="2">
        <f xml:space="preserve"> C17 * 100 / 60000 / 100</f>
        <v>7.9166666666666663E-2</v>
      </c>
      <c r="E17" s="1">
        <v>3450</v>
      </c>
      <c r="F17" s="1">
        <v>184</v>
      </c>
      <c r="G17" s="1">
        <f t="shared" si="1"/>
        <v>920</v>
      </c>
      <c r="J17" s="1"/>
      <c r="K17" s="2"/>
      <c r="L17" s="1"/>
    </row>
    <row r="18" spans="3:12" x14ac:dyDescent="0.25">
      <c r="C18" s="1">
        <v>4775</v>
      </c>
      <c r="D18" s="2">
        <f xml:space="preserve"> C18 * 100 / 60000 / 100</f>
        <v>7.9583333333333325E-2</v>
      </c>
      <c r="E18" s="1">
        <v>3787.5</v>
      </c>
      <c r="F18" s="1">
        <v>202</v>
      </c>
      <c r="G18" s="1">
        <f t="shared" si="1"/>
        <v>1010</v>
      </c>
      <c r="J18" s="1"/>
      <c r="K18" s="2"/>
      <c r="L18" s="1"/>
    </row>
    <row r="19" spans="3:12" x14ac:dyDescent="0.25">
      <c r="C19" s="1">
        <v>4800</v>
      </c>
      <c r="D19" s="2">
        <f xml:space="preserve"> C19 * 100 / 60000 / 100</f>
        <v>0.08</v>
      </c>
      <c r="E19" s="1">
        <v>4087.5</v>
      </c>
      <c r="F19" s="1">
        <v>218</v>
      </c>
      <c r="G19" s="1">
        <f t="shared" si="1"/>
        <v>1090</v>
      </c>
      <c r="J19" s="1"/>
      <c r="K19" s="2"/>
      <c r="L19" s="1"/>
    </row>
    <row r="20" spans="3:12" x14ac:dyDescent="0.25">
      <c r="C20" s="1">
        <v>4825</v>
      </c>
      <c r="D20" s="2">
        <f xml:space="preserve"> C20 * 100 / 60000 / 100</f>
        <v>8.0416666666666664E-2</v>
      </c>
      <c r="E20" s="1">
        <v>4387.5</v>
      </c>
      <c r="F20" s="1">
        <v>234</v>
      </c>
      <c r="G20" s="1">
        <f t="shared" si="1"/>
        <v>1170</v>
      </c>
      <c r="J20" s="1"/>
      <c r="K20" s="2"/>
      <c r="L20" s="1"/>
    </row>
    <row r="21" spans="3:12" x14ac:dyDescent="0.25">
      <c r="C21" s="1">
        <v>4850</v>
      </c>
      <c r="D21" s="2">
        <f xml:space="preserve"> C21 * 100 / 60000 / 100</f>
        <v>8.083333333333334E-2</v>
      </c>
      <c r="E21" s="1">
        <v>4575</v>
      </c>
      <c r="F21" s="1">
        <v>244</v>
      </c>
      <c r="G21" s="1">
        <f t="shared" si="1"/>
        <v>1220</v>
      </c>
    </row>
    <row r="22" spans="3:12" x14ac:dyDescent="0.25">
      <c r="C22" s="1">
        <v>4875</v>
      </c>
      <c r="D22" s="2">
        <f xml:space="preserve"> C22 * 100 / 60000 / 100</f>
        <v>8.1250000000000003E-2</v>
      </c>
      <c r="E22" s="1">
        <v>4762.5</v>
      </c>
      <c r="F22" s="1">
        <v>254</v>
      </c>
      <c r="G22" s="1">
        <f t="shared" si="1"/>
        <v>1270</v>
      </c>
      <c r="J22" s="1"/>
      <c r="K22" s="2"/>
      <c r="L22" s="1"/>
    </row>
    <row r="23" spans="3:12" x14ac:dyDescent="0.25">
      <c r="C23" s="1">
        <v>4900</v>
      </c>
      <c r="D23" s="2">
        <f xml:space="preserve"> C23 * 100 / 60000 / 100</f>
        <v>8.1666666666666665E-2</v>
      </c>
      <c r="E23" s="1">
        <v>4875</v>
      </c>
      <c r="F23" s="1">
        <v>260</v>
      </c>
      <c r="G23" s="1">
        <f t="shared" si="1"/>
        <v>1300</v>
      </c>
      <c r="J23" s="1"/>
      <c r="K23" s="2"/>
      <c r="L23" s="1"/>
    </row>
    <row r="24" spans="3:12" x14ac:dyDescent="0.25">
      <c r="C24" s="1">
        <v>4925</v>
      </c>
      <c r="D24" s="2">
        <f xml:space="preserve"> C24 * 100 / 60000 / 100</f>
        <v>8.2083333333333341E-2</v>
      </c>
      <c r="E24" s="1">
        <v>4987.5</v>
      </c>
      <c r="F24" s="1">
        <v>266</v>
      </c>
      <c r="G24" s="1">
        <f t="shared" si="1"/>
        <v>1330</v>
      </c>
    </row>
    <row r="25" spans="3:12" x14ac:dyDescent="0.25">
      <c r="C25" s="1">
        <v>4950</v>
      </c>
      <c r="D25" s="2">
        <f xml:space="preserve"> C25 * 100 / 60000 / 100</f>
        <v>8.2500000000000004E-2</v>
      </c>
      <c r="E25" s="1">
        <v>5118.75</v>
      </c>
      <c r="F25" s="1">
        <v>273</v>
      </c>
      <c r="G25" s="1">
        <f t="shared" si="1"/>
        <v>1365</v>
      </c>
    </row>
    <row r="26" spans="3:12" x14ac:dyDescent="0.25">
      <c r="C26" s="1">
        <v>4975</v>
      </c>
      <c r="D26" s="2">
        <f xml:space="preserve"> C26 * 100 / 60000 / 100</f>
        <v>8.2916666666666666E-2</v>
      </c>
      <c r="E26" s="1">
        <v>5231.75</v>
      </c>
      <c r="F26" s="1">
        <v>279</v>
      </c>
      <c r="G26" s="1">
        <f t="shared" si="1"/>
        <v>1395</v>
      </c>
    </row>
    <row r="27" spans="3:12" x14ac:dyDescent="0.25">
      <c r="C27" s="1">
        <v>5000</v>
      </c>
      <c r="D27" s="2">
        <f xml:space="preserve"> C27 * 100 / 60000 / 100</f>
        <v>8.3333333333333343E-2</v>
      </c>
      <c r="E27" s="1">
        <v>5287.5</v>
      </c>
      <c r="F27" s="1">
        <v>282</v>
      </c>
      <c r="G27" s="1">
        <f t="shared" si="1"/>
        <v>1410</v>
      </c>
    </row>
    <row r="28" spans="3:12" x14ac:dyDescent="0.25">
      <c r="C28" s="1">
        <v>5025</v>
      </c>
      <c r="D28" s="2">
        <f xml:space="preserve"> C28 * 100 / 60000 / 100</f>
        <v>8.3750000000000005E-2</v>
      </c>
      <c r="E28" s="1">
        <v>5343.75</v>
      </c>
      <c r="F28" s="1">
        <v>285</v>
      </c>
      <c r="G28" s="1">
        <f t="shared" si="1"/>
        <v>1425</v>
      </c>
      <c r="J28" s="8" t="s">
        <v>3</v>
      </c>
      <c r="K28" s="9"/>
      <c r="L28" s="10"/>
    </row>
    <row r="29" spans="3:12" x14ac:dyDescent="0.25">
      <c r="C29" s="1">
        <v>5050</v>
      </c>
      <c r="D29" s="2">
        <f xml:space="preserve"> C29 * 100 / 60000 / 100</f>
        <v>8.4166666666666667E-2</v>
      </c>
      <c r="E29" s="1">
        <v>5400</v>
      </c>
      <c r="F29" s="1">
        <v>288</v>
      </c>
      <c r="G29" s="1">
        <f t="shared" si="1"/>
        <v>1440</v>
      </c>
      <c r="J29" s="1" t="s">
        <v>1</v>
      </c>
      <c r="K29" s="1" t="s">
        <v>0</v>
      </c>
      <c r="L29" s="1" t="s">
        <v>2</v>
      </c>
    </row>
    <row r="30" spans="3:12" x14ac:dyDescent="0.25">
      <c r="C30" s="1">
        <v>5075</v>
      </c>
      <c r="D30" s="2">
        <f xml:space="preserve"> C30 * 100 / 60000 / 100</f>
        <v>8.4583333333333344E-2</v>
      </c>
      <c r="E30" s="1">
        <v>5456.25</v>
      </c>
      <c r="F30" s="1">
        <v>291</v>
      </c>
      <c r="G30" s="1">
        <f t="shared" si="1"/>
        <v>1455</v>
      </c>
      <c r="J30" s="1">
        <v>4500</v>
      </c>
      <c r="K30" s="2">
        <f xml:space="preserve"> J30 * 100 / 60000 / 100</f>
        <v>7.4999999999999997E-2</v>
      </c>
      <c r="L30" s="1">
        <f>(J30-4500)/(6000-4500)*6000</f>
        <v>0</v>
      </c>
    </row>
    <row r="31" spans="3:12" x14ac:dyDescent="0.25">
      <c r="C31" s="1">
        <v>5100</v>
      </c>
      <c r="D31" s="2">
        <f xml:space="preserve"> C31 * 100 / 60000 / 100</f>
        <v>8.5000000000000006E-2</v>
      </c>
      <c r="E31" s="1">
        <v>5493.75</v>
      </c>
      <c r="F31" s="1">
        <v>293</v>
      </c>
      <c r="G31" s="1">
        <f t="shared" si="1"/>
        <v>1465</v>
      </c>
      <c r="J31" s="1">
        <v>4525</v>
      </c>
      <c r="K31" s="2">
        <f t="shared" ref="K31:K90" si="3" xml:space="preserve"> J31 * 100 / 60000 / 100</f>
        <v>7.5416666666666674E-2</v>
      </c>
      <c r="L31" s="1">
        <f t="shared" ref="L31:L90" si="4">(J31-4500)/(6000-4500)*6000</f>
        <v>100</v>
      </c>
    </row>
    <row r="32" spans="3:12" x14ac:dyDescent="0.25">
      <c r="C32" s="1">
        <v>5125</v>
      </c>
      <c r="D32" s="2">
        <f xml:space="preserve"> C32 * 100 / 60000 / 100</f>
        <v>8.5416666666666655E-2</v>
      </c>
      <c r="E32" s="1">
        <v>5531.25</v>
      </c>
      <c r="F32" s="1">
        <v>295</v>
      </c>
      <c r="G32" s="1">
        <f t="shared" si="1"/>
        <v>1475</v>
      </c>
      <c r="J32" s="1">
        <v>4550</v>
      </c>
      <c r="K32" s="2">
        <f t="shared" si="3"/>
        <v>7.5833333333333336E-2</v>
      </c>
      <c r="L32" s="1">
        <f t="shared" si="4"/>
        <v>200</v>
      </c>
    </row>
    <row r="33" spans="3:12" x14ac:dyDescent="0.25">
      <c r="C33" s="1">
        <v>5150</v>
      </c>
      <c r="D33" s="2">
        <f xml:space="preserve"> C33 * 100 / 60000 / 100</f>
        <v>8.5833333333333345E-2</v>
      </c>
      <c r="E33" s="1">
        <v>5568.75</v>
      </c>
      <c r="F33" s="1">
        <v>297</v>
      </c>
      <c r="G33" s="1">
        <f t="shared" si="1"/>
        <v>1485</v>
      </c>
      <c r="J33" s="1">
        <v>4575</v>
      </c>
      <c r="K33" s="2">
        <f t="shared" si="3"/>
        <v>7.6249999999999998E-2</v>
      </c>
      <c r="L33" s="1">
        <f t="shared" si="4"/>
        <v>300</v>
      </c>
    </row>
    <row r="34" spans="3:12" x14ac:dyDescent="0.25">
      <c r="C34" s="1">
        <v>5175</v>
      </c>
      <c r="D34" s="2">
        <f xml:space="preserve"> C34 * 100 / 60000 / 100</f>
        <v>8.6249999999999993E-2</v>
      </c>
      <c r="E34" s="1">
        <v>5587.5</v>
      </c>
      <c r="F34" s="1">
        <v>298</v>
      </c>
      <c r="G34" s="1">
        <f t="shared" si="1"/>
        <v>1490</v>
      </c>
      <c r="J34" s="1">
        <v>4600</v>
      </c>
      <c r="K34" s="2">
        <f t="shared" si="3"/>
        <v>7.6666666666666675E-2</v>
      </c>
      <c r="L34" s="1">
        <f t="shared" si="4"/>
        <v>400</v>
      </c>
    </row>
    <row r="35" spans="3:12" x14ac:dyDescent="0.25">
      <c r="C35" s="1">
        <v>5200</v>
      </c>
      <c r="D35" s="2">
        <f xml:space="preserve"> C35 * 100 / 60000 / 100</f>
        <v>8.6666666666666656E-2</v>
      </c>
      <c r="E35" s="1">
        <v>5625</v>
      </c>
      <c r="F35" s="1">
        <v>300</v>
      </c>
      <c r="G35" s="1">
        <f t="shared" si="1"/>
        <v>1500</v>
      </c>
      <c r="J35" s="1">
        <v>4625</v>
      </c>
      <c r="K35" s="2">
        <f t="shared" si="3"/>
        <v>7.7083333333333337E-2</v>
      </c>
      <c r="L35" s="1">
        <f t="shared" si="4"/>
        <v>500</v>
      </c>
    </row>
    <row r="36" spans="3:12" x14ac:dyDescent="0.25">
      <c r="C36" s="1">
        <v>5225</v>
      </c>
      <c r="D36" s="2">
        <f xml:space="preserve"> C36 * 100 / 60000 / 100</f>
        <v>8.7083333333333346E-2</v>
      </c>
      <c r="E36" s="1">
        <v>5681.25</v>
      </c>
      <c r="F36" s="1">
        <v>303</v>
      </c>
      <c r="G36" s="1">
        <f t="shared" si="1"/>
        <v>1515</v>
      </c>
      <c r="J36" s="1">
        <v>4650</v>
      </c>
      <c r="K36" s="2">
        <f t="shared" si="3"/>
        <v>7.7499999999999999E-2</v>
      </c>
      <c r="L36" s="1">
        <f t="shared" si="4"/>
        <v>600</v>
      </c>
    </row>
    <row r="37" spans="3:12" x14ac:dyDescent="0.25">
      <c r="C37" s="1">
        <v>5250</v>
      </c>
      <c r="D37" s="2">
        <f xml:space="preserve"> C37 * 100 / 60000 / 100</f>
        <v>8.7499999999999994E-2</v>
      </c>
      <c r="E37" s="1">
        <v>5737.5</v>
      </c>
      <c r="F37" s="1">
        <v>306</v>
      </c>
      <c r="G37" s="1">
        <f t="shared" si="1"/>
        <v>1530</v>
      </c>
      <c r="J37" s="1">
        <v>4675</v>
      </c>
      <c r="K37" s="2">
        <f t="shared" si="3"/>
        <v>7.7916666666666676E-2</v>
      </c>
      <c r="L37" s="1">
        <f t="shared" si="4"/>
        <v>700</v>
      </c>
    </row>
    <row r="38" spans="3:12" x14ac:dyDescent="0.25">
      <c r="C38" s="1">
        <v>5275</v>
      </c>
      <c r="D38" s="2">
        <f xml:space="preserve"> C38 * 100 / 60000 / 100</f>
        <v>8.7916666666666657E-2</v>
      </c>
      <c r="E38" s="1">
        <v>5737.5</v>
      </c>
      <c r="F38" s="1">
        <v>306</v>
      </c>
      <c r="G38" s="1">
        <f t="shared" si="1"/>
        <v>1530</v>
      </c>
      <c r="J38" s="1">
        <v>4700</v>
      </c>
      <c r="K38" s="2">
        <f t="shared" si="3"/>
        <v>7.8333333333333324E-2</v>
      </c>
      <c r="L38" s="1">
        <f t="shared" si="4"/>
        <v>800</v>
      </c>
    </row>
    <row r="39" spans="3:12" x14ac:dyDescent="0.25">
      <c r="C39" s="1">
        <v>5300</v>
      </c>
      <c r="D39" s="2">
        <f xml:space="preserve"> C39 * 100 / 60000 / 100</f>
        <v>8.8333333333333333E-2</v>
      </c>
      <c r="E39" s="1">
        <v>5737.5</v>
      </c>
      <c r="F39" s="1">
        <v>306</v>
      </c>
      <c r="G39" s="1">
        <f t="shared" si="1"/>
        <v>1530</v>
      </c>
      <c r="J39" s="1">
        <v>4725</v>
      </c>
      <c r="K39" s="2">
        <f t="shared" si="3"/>
        <v>7.8750000000000001E-2</v>
      </c>
      <c r="L39" s="1">
        <f t="shared" si="4"/>
        <v>900</v>
      </c>
    </row>
    <row r="40" spans="3:12" x14ac:dyDescent="0.25">
      <c r="C40" s="1">
        <v>5325</v>
      </c>
      <c r="D40" s="2">
        <f xml:space="preserve"> C40 * 100 / 60000 / 100</f>
        <v>8.8749999999999996E-2</v>
      </c>
      <c r="E40" s="1">
        <v>5756.25</v>
      </c>
      <c r="F40" s="1">
        <v>307</v>
      </c>
      <c r="G40" s="1">
        <f t="shared" si="1"/>
        <v>1535</v>
      </c>
      <c r="J40" s="1">
        <v>4750</v>
      </c>
      <c r="K40" s="2">
        <f t="shared" si="3"/>
        <v>7.9166666666666663E-2</v>
      </c>
      <c r="L40" s="1">
        <f t="shared" si="4"/>
        <v>1000</v>
      </c>
    </row>
    <row r="41" spans="3:12" x14ac:dyDescent="0.25">
      <c r="C41" s="1">
        <v>5350</v>
      </c>
      <c r="D41" s="2">
        <f xml:space="preserve"> C41 * 100 / 60000 / 100</f>
        <v>8.9166666666666658E-2</v>
      </c>
      <c r="E41" s="1">
        <v>5775</v>
      </c>
      <c r="F41" s="1">
        <v>308</v>
      </c>
      <c r="G41" s="1">
        <f t="shared" si="1"/>
        <v>1540</v>
      </c>
      <c r="J41" s="1">
        <v>4775</v>
      </c>
      <c r="K41" s="2">
        <f t="shared" si="3"/>
        <v>7.9583333333333325E-2</v>
      </c>
      <c r="L41" s="1">
        <f t="shared" si="4"/>
        <v>1100</v>
      </c>
    </row>
    <row r="42" spans="3:12" x14ac:dyDescent="0.25">
      <c r="C42" s="1">
        <v>5375</v>
      </c>
      <c r="D42" s="2">
        <f xml:space="preserve"> C42 * 100 / 60000 / 100</f>
        <v>8.9583333333333334E-2</v>
      </c>
      <c r="E42" s="1">
        <v>5775</v>
      </c>
      <c r="F42" s="1">
        <v>308</v>
      </c>
      <c r="G42" s="1">
        <f t="shared" si="1"/>
        <v>1540</v>
      </c>
      <c r="J42" s="1">
        <v>4800</v>
      </c>
      <c r="K42" s="2">
        <f t="shared" si="3"/>
        <v>0.08</v>
      </c>
      <c r="L42" s="1">
        <f t="shared" si="4"/>
        <v>1200</v>
      </c>
    </row>
    <row r="43" spans="3:12" x14ac:dyDescent="0.25">
      <c r="C43" s="1">
        <v>5400</v>
      </c>
      <c r="D43" s="2">
        <f xml:space="preserve"> C43 * 100 / 60000 / 100</f>
        <v>0.09</v>
      </c>
      <c r="E43" s="1">
        <v>5775</v>
      </c>
      <c r="F43" s="1">
        <v>316</v>
      </c>
      <c r="G43" s="1">
        <f t="shared" si="1"/>
        <v>1580</v>
      </c>
      <c r="J43" s="1">
        <v>4825</v>
      </c>
      <c r="K43" s="2">
        <f t="shared" si="3"/>
        <v>8.0416666666666664E-2</v>
      </c>
      <c r="L43" s="1">
        <f t="shared" si="4"/>
        <v>1300</v>
      </c>
    </row>
    <row r="44" spans="3:12" x14ac:dyDescent="0.25">
      <c r="C44" s="1">
        <v>5425</v>
      </c>
      <c r="D44" s="2">
        <f xml:space="preserve"> C44 * 100 / 60000 / 100</f>
        <v>9.0416666666666659E-2</v>
      </c>
      <c r="E44" s="1">
        <v>5775</v>
      </c>
      <c r="F44" s="1">
        <v>316</v>
      </c>
      <c r="G44" s="1">
        <f t="shared" si="1"/>
        <v>1580</v>
      </c>
      <c r="J44" s="1">
        <v>4850</v>
      </c>
      <c r="K44" s="2">
        <f t="shared" si="3"/>
        <v>8.083333333333334E-2</v>
      </c>
      <c r="L44" s="1">
        <f t="shared" si="4"/>
        <v>1400</v>
      </c>
    </row>
    <row r="45" spans="3:12" x14ac:dyDescent="0.25">
      <c r="C45" s="1">
        <v>5450</v>
      </c>
      <c r="D45" s="2">
        <f xml:space="preserve"> C45 * 100 / 60000 / 100</f>
        <v>9.0833333333333335E-2</v>
      </c>
      <c r="E45" s="1">
        <v>5775</v>
      </c>
      <c r="F45" s="1">
        <v>316</v>
      </c>
      <c r="G45" s="1">
        <f t="shared" si="1"/>
        <v>1580</v>
      </c>
      <c r="J45" s="1">
        <v>4875</v>
      </c>
      <c r="K45" s="2">
        <f t="shared" si="3"/>
        <v>8.1250000000000003E-2</v>
      </c>
      <c r="L45" s="1">
        <f t="shared" si="4"/>
        <v>1500</v>
      </c>
    </row>
    <row r="46" spans="3:12" x14ac:dyDescent="0.25">
      <c r="C46" s="1">
        <v>5475</v>
      </c>
      <c r="D46" s="2">
        <f xml:space="preserve"> C46 * 100 / 60000 / 100</f>
        <v>9.1249999999999998E-2</v>
      </c>
      <c r="E46" s="1">
        <v>5775</v>
      </c>
      <c r="F46" s="1">
        <v>316</v>
      </c>
      <c r="G46" s="1">
        <f t="shared" si="1"/>
        <v>1580</v>
      </c>
      <c r="J46" s="1">
        <v>4900</v>
      </c>
      <c r="K46" s="2">
        <f t="shared" si="3"/>
        <v>8.1666666666666665E-2</v>
      </c>
      <c r="L46" s="1">
        <f t="shared" si="4"/>
        <v>1600</v>
      </c>
    </row>
    <row r="47" spans="3:12" x14ac:dyDescent="0.25">
      <c r="C47" s="1">
        <v>5500</v>
      </c>
      <c r="D47" s="2">
        <f xml:space="preserve"> C47 * 100 / 60000 / 100</f>
        <v>9.166666666666666E-2</v>
      </c>
      <c r="E47" s="1">
        <v>5775</v>
      </c>
      <c r="F47" s="1">
        <v>316</v>
      </c>
      <c r="G47" s="1">
        <f t="shared" si="1"/>
        <v>1580</v>
      </c>
      <c r="J47" s="1">
        <v>4925</v>
      </c>
      <c r="K47" s="2">
        <f t="shared" si="3"/>
        <v>8.2083333333333341E-2</v>
      </c>
      <c r="L47" s="1">
        <f t="shared" si="4"/>
        <v>1700</v>
      </c>
    </row>
    <row r="48" spans="3:12" x14ac:dyDescent="0.25">
      <c r="C48" s="1">
        <v>5525</v>
      </c>
      <c r="D48" s="2">
        <f xml:space="preserve"> C48 * 100 / 60000 / 100</f>
        <v>9.2083333333333336E-2</v>
      </c>
      <c r="E48" s="1">
        <v>5775</v>
      </c>
      <c r="F48" s="1">
        <v>316</v>
      </c>
      <c r="G48" s="1">
        <f t="shared" si="1"/>
        <v>1580</v>
      </c>
      <c r="J48" s="1">
        <v>4950</v>
      </c>
      <c r="K48" s="2">
        <f t="shared" si="3"/>
        <v>8.2500000000000004E-2</v>
      </c>
      <c r="L48" s="1">
        <f t="shared" si="4"/>
        <v>1800</v>
      </c>
    </row>
    <row r="49" spans="3:14" x14ac:dyDescent="0.25">
      <c r="C49" s="1">
        <v>5550</v>
      </c>
      <c r="D49" s="2">
        <f xml:space="preserve"> C49 * 100 / 60000 / 100</f>
        <v>9.2499999999999999E-2</v>
      </c>
      <c r="E49" s="1">
        <v>5775</v>
      </c>
      <c r="F49" s="1">
        <v>316</v>
      </c>
      <c r="G49" s="1">
        <f t="shared" si="1"/>
        <v>1580</v>
      </c>
      <c r="J49" s="1">
        <v>4975</v>
      </c>
      <c r="K49" s="2">
        <f t="shared" si="3"/>
        <v>8.2916666666666666E-2</v>
      </c>
      <c r="L49" s="1">
        <f t="shared" si="4"/>
        <v>1900</v>
      </c>
    </row>
    <row r="50" spans="3:14" x14ac:dyDescent="0.25">
      <c r="C50" s="1">
        <v>5575</v>
      </c>
      <c r="D50" s="2">
        <f xml:space="preserve"> C50 * 100 / 60000 / 100</f>
        <v>9.2916666666666661E-2</v>
      </c>
      <c r="E50" s="1">
        <v>5775</v>
      </c>
      <c r="F50" s="1">
        <v>316</v>
      </c>
      <c r="G50" s="1">
        <f t="shared" si="1"/>
        <v>1580</v>
      </c>
      <c r="J50" s="1">
        <v>5000</v>
      </c>
      <c r="K50" s="2">
        <f t="shared" si="3"/>
        <v>8.3333333333333343E-2</v>
      </c>
      <c r="L50" s="1">
        <f t="shared" si="4"/>
        <v>2000</v>
      </c>
      <c r="N50"/>
    </row>
    <row r="51" spans="3:14" x14ac:dyDescent="0.25">
      <c r="C51" s="1">
        <v>5600</v>
      </c>
      <c r="D51" s="2">
        <f xml:space="preserve"> C51 * 100 / 60000 / 100</f>
        <v>9.3333333333333338E-2</v>
      </c>
      <c r="E51" s="1">
        <v>5775</v>
      </c>
      <c r="F51" s="1">
        <v>316</v>
      </c>
      <c r="G51" s="1">
        <f t="shared" si="1"/>
        <v>1580</v>
      </c>
      <c r="J51" s="1">
        <v>5025</v>
      </c>
      <c r="K51" s="2">
        <f t="shared" si="3"/>
        <v>8.3750000000000005E-2</v>
      </c>
      <c r="L51" s="1">
        <f t="shared" si="4"/>
        <v>2100</v>
      </c>
    </row>
    <row r="52" spans="3:14" x14ac:dyDescent="0.25">
      <c r="C52" s="1">
        <v>5625</v>
      </c>
      <c r="D52" s="2">
        <f xml:space="preserve"> C52 * 100 / 60000 / 100</f>
        <v>9.375E-2</v>
      </c>
      <c r="E52" s="1">
        <v>5775</v>
      </c>
      <c r="F52" s="1">
        <v>316</v>
      </c>
      <c r="G52" s="1">
        <f t="shared" si="1"/>
        <v>1580</v>
      </c>
      <c r="J52" s="1">
        <v>5050</v>
      </c>
      <c r="K52" s="2">
        <f t="shared" si="3"/>
        <v>8.4166666666666667E-2</v>
      </c>
      <c r="L52" s="1">
        <f t="shared" si="4"/>
        <v>2200</v>
      </c>
    </row>
    <row r="53" spans="3:14" x14ac:dyDescent="0.25">
      <c r="C53" s="1">
        <v>5650</v>
      </c>
      <c r="D53" s="2">
        <f xml:space="preserve"> C53 * 100 / 60000 / 100</f>
        <v>9.4166666666666662E-2</v>
      </c>
      <c r="E53" s="1">
        <v>5775</v>
      </c>
      <c r="F53" s="1">
        <v>316</v>
      </c>
      <c r="G53" s="1">
        <f t="shared" si="1"/>
        <v>1580</v>
      </c>
      <c r="J53" s="1">
        <v>5075</v>
      </c>
      <c r="K53" s="2">
        <f t="shared" si="3"/>
        <v>8.4583333333333344E-2</v>
      </c>
      <c r="L53" s="1">
        <f t="shared" si="4"/>
        <v>2300</v>
      </c>
    </row>
    <row r="54" spans="3:14" x14ac:dyDescent="0.25">
      <c r="C54" s="1">
        <v>5675</v>
      </c>
      <c r="D54" s="2">
        <f xml:space="preserve"> C54 * 100 / 60000 / 100</f>
        <v>9.4583333333333339E-2</v>
      </c>
      <c r="E54" s="1">
        <v>5775</v>
      </c>
      <c r="F54" s="1">
        <v>316</v>
      </c>
      <c r="G54" s="1">
        <f t="shared" si="1"/>
        <v>1580</v>
      </c>
      <c r="J54" s="1">
        <v>5100</v>
      </c>
      <c r="K54" s="2">
        <f t="shared" si="3"/>
        <v>8.5000000000000006E-2</v>
      </c>
      <c r="L54" s="1">
        <f t="shared" si="4"/>
        <v>2400</v>
      </c>
    </row>
    <row r="55" spans="3:14" x14ac:dyDescent="0.25">
      <c r="C55" s="1">
        <v>5700</v>
      </c>
      <c r="D55" s="2">
        <f xml:space="preserve"> C55 * 100 / 60000 / 100</f>
        <v>9.5000000000000001E-2</v>
      </c>
      <c r="E55" s="1">
        <v>5775</v>
      </c>
      <c r="F55" s="1">
        <v>316</v>
      </c>
      <c r="G55" s="1">
        <f t="shared" si="1"/>
        <v>1580</v>
      </c>
      <c r="J55" s="1">
        <v>5125</v>
      </c>
      <c r="K55" s="2">
        <f t="shared" si="3"/>
        <v>8.5416666666666655E-2</v>
      </c>
      <c r="L55" s="1">
        <f t="shared" si="4"/>
        <v>2500</v>
      </c>
    </row>
    <row r="56" spans="3:14" x14ac:dyDescent="0.25">
      <c r="C56" s="1">
        <v>5725</v>
      </c>
      <c r="D56" s="2">
        <f xml:space="preserve"> C56 * 100 / 60000 / 100</f>
        <v>9.5416666666666664E-2</v>
      </c>
      <c r="E56" s="1">
        <v>5775</v>
      </c>
      <c r="F56" s="1">
        <v>316</v>
      </c>
      <c r="G56" s="1">
        <f t="shared" si="1"/>
        <v>1580</v>
      </c>
      <c r="J56" s="1">
        <v>5150</v>
      </c>
      <c r="K56" s="2">
        <f t="shared" si="3"/>
        <v>8.5833333333333345E-2</v>
      </c>
      <c r="L56" s="1">
        <f t="shared" si="4"/>
        <v>2600</v>
      </c>
    </row>
    <row r="57" spans="3:14" x14ac:dyDescent="0.25">
      <c r="C57" s="1">
        <v>5750</v>
      </c>
      <c r="D57" s="2">
        <f xml:space="preserve"> C57 * 100 / 60000 / 100</f>
        <v>9.583333333333334E-2</v>
      </c>
      <c r="E57" s="1">
        <v>5775</v>
      </c>
      <c r="F57" s="1">
        <v>316</v>
      </c>
      <c r="G57" s="1">
        <f t="shared" si="1"/>
        <v>1580</v>
      </c>
      <c r="J57" s="1">
        <v>5175</v>
      </c>
      <c r="K57" s="2">
        <f t="shared" si="3"/>
        <v>8.6249999999999993E-2</v>
      </c>
      <c r="L57" s="1">
        <f t="shared" si="4"/>
        <v>2700</v>
      </c>
    </row>
    <row r="58" spans="3:14" x14ac:dyDescent="0.25">
      <c r="C58" s="1">
        <v>5775</v>
      </c>
      <c r="D58" s="2">
        <f xml:space="preserve"> C58 * 100 / 60000 / 100</f>
        <v>9.6250000000000002E-2</v>
      </c>
      <c r="E58" s="1">
        <v>5775</v>
      </c>
      <c r="F58" s="1">
        <v>316</v>
      </c>
      <c r="G58" s="1">
        <f t="shared" si="1"/>
        <v>1580</v>
      </c>
      <c r="J58" s="1">
        <v>5200</v>
      </c>
      <c r="K58" s="2">
        <f t="shared" si="3"/>
        <v>8.6666666666666656E-2</v>
      </c>
      <c r="L58" s="1">
        <f t="shared" si="4"/>
        <v>2800</v>
      </c>
    </row>
    <row r="59" spans="3:14" x14ac:dyDescent="0.25">
      <c r="C59" s="1">
        <v>5800</v>
      </c>
      <c r="D59" s="2">
        <f xml:space="preserve"> C59 * 100 / 60000 / 100</f>
        <v>9.6666666666666665E-2</v>
      </c>
      <c r="E59" s="1">
        <v>5775</v>
      </c>
      <c r="F59" s="1">
        <v>316</v>
      </c>
      <c r="G59" s="1">
        <f t="shared" si="1"/>
        <v>1580</v>
      </c>
      <c r="J59" s="1">
        <v>5225</v>
      </c>
      <c r="K59" s="2">
        <f t="shared" si="3"/>
        <v>8.7083333333333346E-2</v>
      </c>
      <c r="L59" s="1">
        <f t="shared" si="4"/>
        <v>2900</v>
      </c>
    </row>
    <row r="60" spans="3:14" x14ac:dyDescent="0.25">
      <c r="C60" s="1">
        <v>5825</v>
      </c>
      <c r="D60" s="2">
        <f xml:space="preserve"> C60 * 100 / 60000 / 100</f>
        <v>9.7083333333333341E-2</v>
      </c>
      <c r="E60" s="1">
        <v>5775</v>
      </c>
      <c r="F60" s="1">
        <v>316</v>
      </c>
      <c r="G60" s="1">
        <f t="shared" si="1"/>
        <v>1580</v>
      </c>
      <c r="J60" s="1">
        <v>5250</v>
      </c>
      <c r="K60" s="2">
        <f t="shared" si="3"/>
        <v>8.7499999999999994E-2</v>
      </c>
      <c r="L60" s="1">
        <f t="shared" si="4"/>
        <v>3000</v>
      </c>
    </row>
    <row r="61" spans="3:14" x14ac:dyDescent="0.25">
      <c r="C61" s="1">
        <v>5850</v>
      </c>
      <c r="D61" s="2">
        <f xml:space="preserve"> C61 * 100 / 60000 / 100</f>
        <v>9.7500000000000003E-2</v>
      </c>
      <c r="E61" s="1">
        <v>5775</v>
      </c>
      <c r="F61" s="1">
        <v>316</v>
      </c>
      <c r="G61" s="1">
        <f t="shared" si="1"/>
        <v>1580</v>
      </c>
      <c r="J61" s="1">
        <v>5275</v>
      </c>
      <c r="K61" s="2">
        <f t="shared" si="3"/>
        <v>8.7916666666666657E-2</v>
      </c>
      <c r="L61" s="1">
        <f t="shared" si="4"/>
        <v>3100.0000000000005</v>
      </c>
    </row>
    <row r="62" spans="3:14" x14ac:dyDescent="0.25">
      <c r="C62" s="1">
        <v>5875</v>
      </c>
      <c r="D62" s="2">
        <f xml:space="preserve"> C62 * 100 / 60000 / 100</f>
        <v>9.7916666666666666E-2</v>
      </c>
      <c r="E62" s="1">
        <v>5775</v>
      </c>
      <c r="F62" s="1">
        <v>316</v>
      </c>
      <c r="G62" s="1">
        <f t="shared" si="1"/>
        <v>1580</v>
      </c>
      <c r="J62" s="1">
        <v>5300</v>
      </c>
      <c r="K62" s="2">
        <f t="shared" si="3"/>
        <v>8.8333333333333333E-2</v>
      </c>
      <c r="L62" s="1">
        <f t="shared" si="4"/>
        <v>3200</v>
      </c>
    </row>
    <row r="63" spans="3:14" x14ac:dyDescent="0.25">
      <c r="C63" s="1">
        <v>5900</v>
      </c>
      <c r="D63" s="2">
        <f xml:space="preserve"> C63 * 100 / 60000 / 100</f>
        <v>9.8333333333333342E-2</v>
      </c>
      <c r="E63" s="1">
        <v>5775</v>
      </c>
      <c r="F63" s="1">
        <v>316</v>
      </c>
      <c r="G63" s="1">
        <f t="shared" si="1"/>
        <v>1580</v>
      </c>
      <c r="J63" s="1">
        <v>5325</v>
      </c>
      <c r="K63" s="2">
        <f t="shared" si="3"/>
        <v>8.8749999999999996E-2</v>
      </c>
      <c r="L63" s="1">
        <f t="shared" si="4"/>
        <v>3300.0000000000005</v>
      </c>
    </row>
    <row r="64" spans="3:14" x14ac:dyDescent="0.25">
      <c r="C64" s="1">
        <v>5925</v>
      </c>
      <c r="D64" s="2">
        <f xml:space="preserve"> C64 * 100 / 60000 / 100</f>
        <v>9.8750000000000004E-2</v>
      </c>
      <c r="E64" s="1">
        <v>5775</v>
      </c>
      <c r="F64" s="1">
        <v>316</v>
      </c>
      <c r="G64" s="1">
        <f t="shared" si="1"/>
        <v>1580</v>
      </c>
      <c r="J64" s="1">
        <v>5350</v>
      </c>
      <c r="K64" s="2">
        <f t="shared" si="3"/>
        <v>8.9166666666666658E-2</v>
      </c>
      <c r="L64" s="1">
        <f t="shared" si="4"/>
        <v>3400</v>
      </c>
    </row>
    <row r="65" spans="3:12" x14ac:dyDescent="0.25">
      <c r="C65" s="1">
        <v>5950</v>
      </c>
      <c r="D65" s="2">
        <f xml:space="preserve"> C65 * 100 / 60000 / 100</f>
        <v>9.9166666666666667E-2</v>
      </c>
      <c r="E65" s="1">
        <v>5775</v>
      </c>
      <c r="F65" s="1">
        <v>316</v>
      </c>
      <c r="G65" s="1">
        <f t="shared" si="1"/>
        <v>1580</v>
      </c>
      <c r="J65" s="1">
        <v>5375</v>
      </c>
      <c r="K65" s="2">
        <f t="shared" si="3"/>
        <v>8.9583333333333334E-2</v>
      </c>
      <c r="L65" s="1">
        <f t="shared" si="4"/>
        <v>3500</v>
      </c>
    </row>
    <row r="66" spans="3:12" x14ac:dyDescent="0.25">
      <c r="C66" s="1">
        <v>5975</v>
      </c>
      <c r="D66" s="2">
        <f xml:space="preserve"> C66 * 100 / 60000 / 100</f>
        <v>9.9583333333333343E-2</v>
      </c>
      <c r="E66" s="1">
        <v>5775</v>
      </c>
      <c r="F66" s="1">
        <v>316</v>
      </c>
      <c r="G66" s="1">
        <f t="shared" si="1"/>
        <v>1580</v>
      </c>
      <c r="J66" s="1">
        <v>5400</v>
      </c>
      <c r="K66" s="2">
        <f t="shared" si="3"/>
        <v>0.09</v>
      </c>
      <c r="L66" s="1">
        <f t="shared" si="4"/>
        <v>3600</v>
      </c>
    </row>
    <row r="67" spans="3:12" x14ac:dyDescent="0.25">
      <c r="C67" s="1">
        <v>6000</v>
      </c>
      <c r="D67" s="2">
        <f xml:space="preserve"> C67 * 100 / 60000 / 100</f>
        <v>0.1</v>
      </c>
      <c r="E67" s="1">
        <v>5775</v>
      </c>
      <c r="F67" s="1">
        <v>316</v>
      </c>
      <c r="G67" s="1">
        <f t="shared" si="1"/>
        <v>1580</v>
      </c>
      <c r="J67" s="1">
        <v>5425</v>
      </c>
      <c r="K67" s="2">
        <f t="shared" si="3"/>
        <v>9.0416666666666659E-2</v>
      </c>
      <c r="L67" s="1">
        <f t="shared" si="4"/>
        <v>3700</v>
      </c>
    </row>
    <row r="68" spans="3:12" x14ac:dyDescent="0.25">
      <c r="J68" s="1">
        <v>5450</v>
      </c>
      <c r="K68" s="2">
        <f t="shared" si="3"/>
        <v>9.0833333333333335E-2</v>
      </c>
      <c r="L68" s="1">
        <f t="shared" si="4"/>
        <v>3800</v>
      </c>
    </row>
    <row r="69" spans="3:12" x14ac:dyDescent="0.25">
      <c r="J69" s="1">
        <v>5475</v>
      </c>
      <c r="K69" s="2">
        <f t="shared" si="3"/>
        <v>9.1249999999999998E-2</v>
      </c>
      <c r="L69" s="1">
        <f t="shared" si="4"/>
        <v>3900</v>
      </c>
    </row>
    <row r="70" spans="3:12" x14ac:dyDescent="0.25">
      <c r="J70" s="1">
        <v>5500</v>
      </c>
      <c r="K70" s="2">
        <f t="shared" si="3"/>
        <v>9.166666666666666E-2</v>
      </c>
      <c r="L70" s="1">
        <f t="shared" si="4"/>
        <v>4000</v>
      </c>
    </row>
    <row r="71" spans="3:12" x14ac:dyDescent="0.25">
      <c r="J71" s="1">
        <v>5525</v>
      </c>
      <c r="K71" s="2">
        <f t="shared" si="3"/>
        <v>9.2083333333333336E-2</v>
      </c>
      <c r="L71" s="1">
        <f t="shared" si="4"/>
        <v>4100</v>
      </c>
    </row>
    <row r="72" spans="3:12" x14ac:dyDescent="0.25">
      <c r="J72" s="1">
        <v>5550</v>
      </c>
      <c r="K72" s="2">
        <f t="shared" si="3"/>
        <v>9.2499999999999999E-2</v>
      </c>
      <c r="L72" s="1">
        <f t="shared" si="4"/>
        <v>4200</v>
      </c>
    </row>
    <row r="73" spans="3:12" x14ac:dyDescent="0.25">
      <c r="J73" s="1">
        <v>5575</v>
      </c>
      <c r="K73" s="2">
        <f t="shared" si="3"/>
        <v>9.2916666666666661E-2</v>
      </c>
      <c r="L73" s="1">
        <f t="shared" si="4"/>
        <v>4300</v>
      </c>
    </row>
    <row r="74" spans="3:12" x14ac:dyDescent="0.25">
      <c r="J74" s="1">
        <v>5600</v>
      </c>
      <c r="K74" s="2">
        <f t="shared" si="3"/>
        <v>9.3333333333333338E-2</v>
      </c>
      <c r="L74" s="1">
        <f t="shared" si="4"/>
        <v>4400</v>
      </c>
    </row>
    <row r="75" spans="3:12" x14ac:dyDescent="0.25">
      <c r="J75" s="1">
        <v>5625</v>
      </c>
      <c r="K75" s="2">
        <f t="shared" si="3"/>
        <v>9.375E-2</v>
      </c>
      <c r="L75" s="1">
        <f t="shared" si="4"/>
        <v>4500</v>
      </c>
    </row>
    <row r="76" spans="3:12" x14ac:dyDescent="0.25">
      <c r="J76" s="1">
        <v>5650</v>
      </c>
      <c r="K76" s="2">
        <f t="shared" si="3"/>
        <v>9.4166666666666662E-2</v>
      </c>
      <c r="L76" s="1">
        <f t="shared" si="4"/>
        <v>4600</v>
      </c>
    </row>
    <row r="77" spans="3:12" x14ac:dyDescent="0.25">
      <c r="J77" s="1">
        <v>5675</v>
      </c>
      <c r="K77" s="2">
        <f t="shared" si="3"/>
        <v>9.4583333333333339E-2</v>
      </c>
      <c r="L77" s="1">
        <f t="shared" si="4"/>
        <v>4700</v>
      </c>
    </row>
    <row r="78" spans="3:12" x14ac:dyDescent="0.25">
      <c r="J78" s="1">
        <v>5700</v>
      </c>
      <c r="K78" s="2">
        <f t="shared" si="3"/>
        <v>9.5000000000000001E-2</v>
      </c>
      <c r="L78" s="1">
        <f t="shared" si="4"/>
        <v>4800</v>
      </c>
    </row>
    <row r="79" spans="3:12" x14ac:dyDescent="0.25">
      <c r="J79" s="1">
        <v>5725</v>
      </c>
      <c r="K79" s="2">
        <f t="shared" si="3"/>
        <v>9.5416666666666664E-2</v>
      </c>
      <c r="L79" s="1">
        <f t="shared" si="4"/>
        <v>4900</v>
      </c>
    </row>
    <row r="80" spans="3:12" x14ac:dyDescent="0.25">
      <c r="J80" s="1">
        <v>5750</v>
      </c>
      <c r="K80" s="2">
        <f t="shared" si="3"/>
        <v>9.583333333333334E-2</v>
      </c>
      <c r="L80" s="1">
        <f t="shared" si="4"/>
        <v>5000</v>
      </c>
    </row>
    <row r="81" spans="4:12" x14ac:dyDescent="0.25">
      <c r="D81" s="4"/>
      <c r="J81" s="1">
        <v>5775</v>
      </c>
      <c r="K81" s="2">
        <f t="shared" si="3"/>
        <v>9.6250000000000002E-2</v>
      </c>
      <c r="L81" s="1">
        <f t="shared" si="4"/>
        <v>5100</v>
      </c>
    </row>
    <row r="82" spans="4:12" x14ac:dyDescent="0.25">
      <c r="J82" s="1">
        <v>5800</v>
      </c>
      <c r="K82" s="2">
        <f t="shared" si="3"/>
        <v>9.6666666666666665E-2</v>
      </c>
      <c r="L82" s="1">
        <f t="shared" si="4"/>
        <v>5200</v>
      </c>
    </row>
    <row r="83" spans="4:12" x14ac:dyDescent="0.25">
      <c r="J83" s="1">
        <v>5825</v>
      </c>
      <c r="K83" s="2">
        <f t="shared" si="3"/>
        <v>9.7083333333333341E-2</v>
      </c>
      <c r="L83" s="1">
        <f t="shared" si="4"/>
        <v>5300</v>
      </c>
    </row>
    <row r="84" spans="4:12" x14ac:dyDescent="0.25">
      <c r="J84" s="1">
        <v>5850</v>
      </c>
      <c r="K84" s="2">
        <f t="shared" si="3"/>
        <v>9.7500000000000003E-2</v>
      </c>
      <c r="L84" s="1">
        <f t="shared" si="4"/>
        <v>5400</v>
      </c>
    </row>
    <row r="85" spans="4:12" x14ac:dyDescent="0.25">
      <c r="J85" s="1">
        <v>5875</v>
      </c>
      <c r="K85" s="2">
        <f t="shared" si="3"/>
        <v>9.7916666666666666E-2</v>
      </c>
      <c r="L85" s="1">
        <f t="shared" si="4"/>
        <v>5500</v>
      </c>
    </row>
    <row r="86" spans="4:12" x14ac:dyDescent="0.25">
      <c r="J86" s="1">
        <v>5900</v>
      </c>
      <c r="K86" s="2">
        <f t="shared" si="3"/>
        <v>9.8333333333333342E-2</v>
      </c>
      <c r="L86" s="1">
        <f t="shared" si="4"/>
        <v>5600</v>
      </c>
    </row>
    <row r="87" spans="4:12" x14ac:dyDescent="0.25">
      <c r="J87" s="1">
        <v>5925</v>
      </c>
      <c r="K87" s="2">
        <f t="shared" si="3"/>
        <v>9.8750000000000004E-2</v>
      </c>
      <c r="L87" s="1">
        <f t="shared" si="4"/>
        <v>5700</v>
      </c>
    </row>
    <row r="88" spans="4:12" x14ac:dyDescent="0.25">
      <c r="J88" s="1">
        <v>5950</v>
      </c>
      <c r="K88" s="2">
        <f t="shared" si="3"/>
        <v>9.9166666666666667E-2</v>
      </c>
      <c r="L88" s="1">
        <f t="shared" si="4"/>
        <v>5800</v>
      </c>
    </row>
    <row r="89" spans="4:12" x14ac:dyDescent="0.25">
      <c r="J89" s="1">
        <v>5975</v>
      </c>
      <c r="K89" s="2">
        <f t="shared" si="3"/>
        <v>9.9583333333333343E-2</v>
      </c>
      <c r="L89" s="1">
        <f t="shared" si="4"/>
        <v>5900</v>
      </c>
    </row>
    <row r="90" spans="4:12" x14ac:dyDescent="0.25">
      <c r="J90" s="1">
        <v>6000</v>
      </c>
      <c r="K90" s="2">
        <f t="shared" si="3"/>
        <v>0.1</v>
      </c>
      <c r="L90" s="1">
        <f t="shared" si="4"/>
        <v>6000</v>
      </c>
    </row>
    <row r="91" spans="4:12" x14ac:dyDescent="0.25">
      <c r="K91" s="5"/>
    </row>
    <row r="92" spans="4:12" x14ac:dyDescent="0.25">
      <c r="K92" s="5"/>
    </row>
    <row r="93" spans="4:12" x14ac:dyDescent="0.25">
      <c r="K93" s="5"/>
    </row>
    <row r="94" spans="4:12" x14ac:dyDescent="0.25">
      <c r="K94" s="5"/>
    </row>
    <row r="95" spans="4:12" x14ac:dyDescent="0.25">
      <c r="K95" s="5"/>
    </row>
    <row r="96" spans="4:12" x14ac:dyDescent="0.25">
      <c r="K96" s="5"/>
    </row>
    <row r="97" spans="5:11" x14ac:dyDescent="0.25">
      <c r="K97" s="5"/>
    </row>
    <row r="100" spans="5:11" x14ac:dyDescent="0.25">
      <c r="E100"/>
    </row>
  </sheetData>
  <mergeCells count="4">
    <mergeCell ref="J2:M2"/>
    <mergeCell ref="J28:L28"/>
    <mergeCell ref="C3:G3"/>
    <mergeCell ref="J3:L3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48FB57-10BA-4F9E-B8BD-B9B8B9A9E4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Van Hai</dc:creator>
  <cp:lastModifiedBy>Bui Van Hai</cp:lastModifiedBy>
  <dcterms:created xsi:type="dcterms:W3CDTF">2025-10-16T05:11:13Z</dcterms:created>
  <dcterms:modified xsi:type="dcterms:W3CDTF">2025-11-03T18:53:14Z</dcterms:modified>
</cp:coreProperties>
</file>